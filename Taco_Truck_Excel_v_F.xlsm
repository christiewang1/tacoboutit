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y35\Desktop\Christie_Tesla\"/>
    </mc:Choice>
  </mc:AlternateContent>
  <xr:revisionPtr revIDLastSave="0" documentId="13_ncr:1_{06258472-44CB-40B8-9889-F0A1CA62DE15}" xr6:coauthVersionLast="43" xr6:coauthVersionMax="43" xr10:uidLastSave="{00000000-0000-0000-0000-000000000000}"/>
  <bookViews>
    <workbookView xWindow="-120" yWindow="-120" windowWidth="29040" windowHeight="15840" tabRatio="500" xr2:uid="{00000000-000D-0000-FFFF-FFFF00000000}"/>
  </bookViews>
  <sheets>
    <sheet name="Summary" sheetId="6" r:id="rId1"/>
    <sheet name="Original Summary" sheetId="12" state="hidden" r:id="rId2"/>
    <sheet name="DCF" sheetId="4" r:id="rId3"/>
    <sheet name="Sensitivity Analysis" sheetId="9" r:id="rId4"/>
    <sheet name="Income Statement" sheetId="5" r:id="rId5"/>
    <sheet name="Statement of Cash Flow" sheetId="11" r:id="rId6"/>
    <sheet name="Balance Sheet" sheetId="13" r:id="rId7"/>
    <sheet name="Working Sensitivity" sheetId="10" state="hidden" r:id="rId8"/>
  </sheets>
  <functionGroups builtInGroupCount="19"/>
  <externalReferences>
    <externalReference r:id="rId9"/>
  </externalReferences>
  <definedNames>
    <definedName name="_Order1" hidden="1">0</definedName>
    <definedName name="Accounts_Payable">Summary!$B$73</definedName>
    <definedName name="Accounts_Receivable">Summary!$B$69</definedName>
    <definedName name="Accrued_Expenses">Summary!$B$74</definedName>
    <definedName name="Advertising">Summary!$B$36</definedName>
    <definedName name="Amortization">Summary!$B$53</definedName>
    <definedName name="Amortization_Y1">Summary!$B$54</definedName>
    <definedName name="Amortization_Y2">Summary!$B$55</definedName>
    <definedName name="Amortization_Y3">Summary!$B$56</definedName>
    <definedName name="Amortization_Y4">Summary!$B$57</definedName>
    <definedName name="Amortization_Y5">Summary!$B$58</definedName>
    <definedName name="Annual_Growth_Rate">Summary!$B$62</definedName>
    <definedName name="Assets">'Balance Sheet'!$B$15</definedName>
    <definedName name="Avg_Order_Sale">Summary!$B$8</definedName>
    <definedName name="Capex_Y1">Summary!$B$24</definedName>
    <definedName name="Capex_Y2">Summary!$B$25</definedName>
    <definedName name="Capex_Y3">Summary!$B$26</definedName>
    <definedName name="Capex_Y4">Summary!$B$27</definedName>
    <definedName name="Capex_Y5">Summary!$B$28</definedName>
    <definedName name="Capital_Expenditures">Summary!$B$23</definedName>
    <definedName name="Cash_from_Financing">'Statement of Cash Flow'!$B$17</definedName>
    <definedName name="Cash_from_Investing">'Statement of Cash Flow'!$B$12</definedName>
    <definedName name="Cash_from_Operations">'Statement of Cash Flow'!$B$8</definedName>
    <definedName name="Change_in_Cash">'Statement of Cash Flow'!$B$19</definedName>
    <definedName name="CIQWBGuid" hidden="1">"2cd8126d-26c3-430c-b7fa-a069e3a1fc62"</definedName>
    <definedName name="Closing_Cash_Balance">'Statement of Cash Flow'!$B$21</definedName>
    <definedName name="Cost_of_Goods_Sold">'Income Statement'!$C$18</definedName>
    <definedName name="Credit_Card_Fee">Summary!$B$34</definedName>
    <definedName name="Daily_Order_Volume">Summary!$B$9</definedName>
    <definedName name="Daily_Potential_Customers">Summary!$B$11</definedName>
    <definedName name="DATA_01" hidden="1">'[1]Income Statement (2)'!$B$2:$B$3</definedName>
    <definedName name="DATA_02" hidden="1">'[1]Income Statement (2)'!$G$6:$G$7</definedName>
    <definedName name="DATA_03" hidden="1">'[1]Income Statement (2)'!#REF!</definedName>
    <definedName name="DATA_04" hidden="1">'[1]Income Statement (2)'!$G$11:$G$16</definedName>
    <definedName name="DATA_05" hidden="1">'[1]Income Statement (2)'!$C$16</definedName>
    <definedName name="DATA_06" hidden="1">'[1]Income Statement (2)'!$G$23:$G$48</definedName>
    <definedName name="DATA_07" hidden="1">'[1]Income Statement (2)'!#REF!</definedName>
    <definedName name="DATA_08" hidden="1">'[1]Income Statement (2)'!$H$53</definedName>
    <definedName name="Days_per_Year">360</definedName>
    <definedName name="Debt_Issuance">Summary!$B$65</definedName>
    <definedName name="Depreciation">Summary!$B$41</definedName>
    <definedName name="Depreciation_Y1">Summary!$B$42</definedName>
    <definedName name="Depreciation_Y2">Summary!$B$43</definedName>
    <definedName name="Depreciation_Y3">Summary!$B$44</definedName>
    <definedName name="Depreciation_Y4">Summary!$B$45</definedName>
    <definedName name="Depreciation_Y5">Summary!$B$46</definedName>
    <definedName name="Discount_Rate">Summary!$B$61</definedName>
    <definedName name="Discount_Rate_Sensitivity">'Sensitivity Analysis'!$C$5</definedName>
    <definedName name="EBIT">'Income Statement'!$C$36</definedName>
    <definedName name="Employee_Salary">Summary!$B$18</definedName>
    <definedName name="Equity_Capital">Summary!$B$67</definedName>
    <definedName name="Equity_Issuance">Summary!$B$66</definedName>
    <definedName name="EV_Avg">DCF!$M$23</definedName>
    <definedName name="EV_EBITDA_Multiple">Summary!$B$64</definedName>
    <definedName name="EV_EBITDA_Multiple_Sensitivity">'Sensitivity Analysis'!$C$7</definedName>
    <definedName name="EV_Growth">DCF!$M$21</definedName>
    <definedName name="EV_Multiple">DCF!$M$22</definedName>
    <definedName name="Financial_Year">Summary!$B$2</definedName>
    <definedName name="Gas">Summary!$B$30</definedName>
    <definedName name="Goodwill">Summary!$B$72</definedName>
    <definedName name="Gross_Profit">'Income Statement'!$B$19</definedName>
    <definedName name="Gross_Sales">'Income Statement'!$B$5</definedName>
    <definedName name="Ingredients">Summary!$B$13</definedName>
    <definedName name="Initial_Investment">Summary!$B$40</definedName>
    <definedName name="Insurance">Summary!$B$37</definedName>
    <definedName name="Interest_Expense">Summary!$B$59</definedName>
    <definedName name="Interval">0.1</definedName>
    <definedName name="IntroPrintArea" hidden="1">#REF!</definedName>
    <definedName name="Inventory">Summary!$B$71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Janitorial">Summary!$B$33</definedName>
    <definedName name="Kitchen_Equipment">Summary!$B$21</definedName>
    <definedName name="Liabilities">'Balance Sheet'!$B$25</definedName>
    <definedName name="Liabilities_and_SE">'Balance Sheet'!$B$31</definedName>
    <definedName name="Long_term_debt">Summary!$B$75</definedName>
    <definedName name="Market_Share">Summary!$B$12</definedName>
    <definedName name="Net_Income">'Income Statement'!$C$39</definedName>
    <definedName name="Net_Sales">'Income Statement'!$C$9</definedName>
    <definedName name="NWC_Change">Summary!$B$47</definedName>
    <definedName name="NWC_Change_Y1">Summary!$B$48</definedName>
    <definedName name="NWC_Change_Y2">Summary!$B$49</definedName>
    <definedName name="NWC_Change_Y3">Summary!$B$50</definedName>
    <definedName name="NWC_Change_Y4">Summary!$B$51</definedName>
    <definedName name="NWC_Change_Y5">Summary!$B$52</definedName>
    <definedName name="Opening_Cash_Balance">'Statement of Cash Flow'!$B$20</definedName>
    <definedName name="Other_Capex">Summary!$B$22</definedName>
    <definedName name="other_debt">Summary!$B$76</definedName>
    <definedName name="Packing_Costs">Summary!$B$17</definedName>
    <definedName name="Percent_Ingredients">Summary!$B$14</definedName>
    <definedName name="Percent_Salary">Summary!$B$19</definedName>
    <definedName name="Permits">Summary!$B$31</definedName>
    <definedName name="Perpetural_Growth_Rate">Summary!$B$63</definedName>
    <definedName name="Perpetural_Growth_Rate_Sensitivity">'Sensitivity Analysis'!$C$6</definedName>
    <definedName name="PPE">Summary!$B$68</definedName>
    <definedName name="Prepaid_Expenses">Summary!$B$70</definedName>
    <definedName name="Reinvestment_Rate">Summary!$B$77</definedName>
    <definedName name="Sales_Returns_Allowances">Summary!$B$15</definedName>
    <definedName name="Shareholder_Equity">'Balance Sheet'!$B$30</definedName>
    <definedName name="Storage_Costs">Summary!$B$16</definedName>
    <definedName name="Tax_Rate">Summary!$B$60</definedName>
    <definedName name="Terminal_Value">DCF!$M$25</definedName>
    <definedName name="Total_Expenses">'Income Statement'!$C$33</definedName>
    <definedName name="Trash">Summary!$B$32</definedName>
    <definedName name="Truck_Maintenance">Summary!$B$29</definedName>
    <definedName name="Truck_Purchase_Cost">Summary!$B$20</definedName>
    <definedName name="Utilities">Summary!$B$35</definedName>
    <definedName name="Yearly_Order_Volume">Summary!$B$10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6" l="1"/>
  <c r="B9" i="6"/>
  <c r="B10" i="6" s="1"/>
  <c r="B8" i="6"/>
  <c r="I5" i="6"/>
  <c r="C53" i="12"/>
  <c r="C47" i="12"/>
  <c r="C41" i="12"/>
  <c r="C35" i="12"/>
  <c r="C23" i="12"/>
  <c r="B23" i="12"/>
  <c r="C18" i="12"/>
  <c r="C13" i="12"/>
  <c r="B9" i="12"/>
  <c r="B8" i="12"/>
  <c r="B10" i="12"/>
  <c r="M10" i="4"/>
  <c r="D15" i="4" s="1"/>
  <c r="M11" i="4"/>
  <c r="B18" i="6" l="1"/>
  <c r="B13" i="6"/>
  <c r="B13" i="12"/>
  <c r="C18" i="6"/>
  <c r="B10" i="13"/>
  <c r="B23" i="13"/>
  <c r="B28" i="13"/>
  <c r="B24" i="13"/>
  <c r="B20" i="13"/>
  <c r="B19" i="13"/>
  <c r="B21" i="13" s="1"/>
  <c r="B14" i="13"/>
  <c r="B9" i="13"/>
  <c r="B8" i="13"/>
  <c r="B7" i="13"/>
  <c r="B13" i="13"/>
  <c r="A2" i="13"/>
  <c r="B7" i="11"/>
  <c r="B6" i="11"/>
  <c r="B18" i="12" l="1"/>
  <c r="B15" i="5"/>
  <c r="B25" i="13"/>
  <c r="B11" i="11" l="1"/>
  <c r="B12" i="11" s="1"/>
  <c r="B16" i="11"/>
  <c r="B15" i="11"/>
  <c r="A2" i="11"/>
  <c r="B17" i="11" l="1"/>
  <c r="B37" i="5" l="1"/>
  <c r="B35" i="5"/>
  <c r="B32" i="5"/>
  <c r="B31" i="5"/>
  <c r="B30" i="5"/>
  <c r="B29" i="5"/>
  <c r="B28" i="5"/>
  <c r="B27" i="5"/>
  <c r="B26" i="5"/>
  <c r="B25" i="5"/>
  <c r="B24" i="5"/>
  <c r="B23" i="5"/>
  <c r="B17" i="5"/>
  <c r="B16" i="5"/>
  <c r="B14" i="5"/>
  <c r="B13" i="5"/>
  <c r="B8" i="5"/>
  <c r="I11" i="4"/>
  <c r="H11" i="4"/>
  <c r="G11" i="4"/>
  <c r="F11" i="4"/>
  <c r="E11" i="4"/>
  <c r="C53" i="6"/>
  <c r="C47" i="6"/>
  <c r="C41" i="6"/>
  <c r="G29" i="4"/>
  <c r="E29" i="4"/>
  <c r="C29" i="4"/>
  <c r="I6" i="4"/>
  <c r="H6" i="4"/>
  <c r="G6" i="4"/>
  <c r="F6" i="4"/>
  <c r="E6" i="4"/>
  <c r="D6" i="4"/>
  <c r="I13" i="4"/>
  <c r="H13" i="4"/>
  <c r="G13" i="4"/>
  <c r="F13" i="4"/>
  <c r="E13" i="4"/>
  <c r="I12" i="4"/>
  <c r="H12" i="4"/>
  <c r="G12" i="4"/>
  <c r="F12" i="4"/>
  <c r="E12" i="4"/>
  <c r="C23" i="6"/>
  <c r="C35" i="6"/>
  <c r="M9" i="4"/>
  <c r="M8" i="4"/>
  <c r="M7" i="4"/>
  <c r="M6" i="4"/>
  <c r="M5" i="4" l="1"/>
  <c r="C13" i="6"/>
  <c r="A34" i="9"/>
  <c r="A35" i="9" s="1"/>
  <c r="A36" i="9" s="1"/>
  <c r="A37" i="9" s="1"/>
  <c r="A38" i="9" s="1"/>
  <c r="A39" i="9" s="1"/>
  <c r="G28" i="9"/>
  <c r="H28" i="9" s="1"/>
  <c r="I28" i="9" s="1"/>
  <c r="J28" i="9" s="1"/>
  <c r="K28" i="9" s="1"/>
  <c r="L28" i="9" s="1"/>
  <c r="A17" i="9"/>
  <c r="A16" i="9" s="1"/>
  <c r="A15" i="9" s="1"/>
  <c r="A14" i="9" s="1"/>
  <c r="A13" i="9" s="1"/>
  <c r="A12" i="9" s="1"/>
  <c r="G11" i="9"/>
  <c r="F11" i="9" s="1"/>
  <c r="E11" i="9" s="1"/>
  <c r="D13" i="4"/>
  <c r="F28" i="9" l="1"/>
  <c r="E28" i="9" s="1"/>
  <c r="D28" i="9" s="1"/>
  <c r="C28" i="9" s="1"/>
  <c r="B28" i="9" s="1"/>
  <c r="A33" i="9"/>
  <c r="A32" i="9" s="1"/>
  <c r="A31" i="9" s="1"/>
  <c r="A30" i="9" s="1"/>
  <c r="A29" i="9" s="1"/>
  <c r="A18" i="9"/>
  <c r="A19" i="9" s="1"/>
  <c r="A20" i="9" s="1"/>
  <c r="A21" i="9" s="1"/>
  <c r="A22" i="9" s="1"/>
  <c r="H11" i="9"/>
  <c r="I11" i="9" s="1"/>
  <c r="J11" i="9" s="1"/>
  <c r="K11" i="9" s="1"/>
  <c r="L11" i="9" s="1"/>
  <c r="D11" i="9"/>
  <c r="C11" i="9" s="1"/>
  <c r="B11" i="9" s="1"/>
  <c r="D4" i="4"/>
  <c r="A2" i="5"/>
  <c r="G47" i="4" l="1"/>
  <c r="E47" i="4"/>
  <c r="C47" i="4"/>
  <c r="C40" i="4"/>
  <c r="G40" i="4"/>
  <c r="E40" i="4"/>
  <c r="B50" i="4"/>
  <c r="B49" i="4"/>
  <c r="B48" i="4"/>
  <c r="C46" i="4"/>
  <c r="B43" i="4"/>
  <c r="B42" i="4"/>
  <c r="B41" i="4"/>
  <c r="B32" i="4"/>
  <c r="B31" i="4"/>
  <c r="B30" i="4"/>
  <c r="B25" i="4"/>
  <c r="O4" i="4" s="1"/>
  <c r="B23" i="4"/>
  <c r="O2" i="4" s="1"/>
  <c r="B24" i="4"/>
  <c r="O3" i="4" s="1"/>
  <c r="G22" i="4" l="1"/>
  <c r="O7" i="4" s="1"/>
  <c r="C22" i="4"/>
  <c r="O5" i="4" s="1"/>
  <c r="E22" i="4"/>
  <c r="O6" i="4" s="1"/>
  <c r="D12" i="4"/>
  <c r="D11" i="4"/>
  <c r="C28" i="4"/>
  <c r="C33" i="5" l="1"/>
  <c r="E4" i="4" l="1"/>
  <c r="B6" i="5" l="1"/>
  <c r="F4" i="4"/>
  <c r="G4" i="4" l="1"/>
  <c r="B7" i="5" l="1"/>
  <c r="B5" i="5"/>
  <c r="H4" i="4"/>
  <c r="B12" i="5"/>
  <c r="I4" i="4" l="1"/>
  <c r="O1" i="4" s="1"/>
  <c r="C9" i="5"/>
  <c r="C18" i="5"/>
  <c r="B19" i="5" l="1"/>
  <c r="C36" i="5" s="1"/>
  <c r="B38" i="5" s="1"/>
  <c r="C39" i="5" l="1"/>
  <c r="D5" i="4"/>
  <c r="B5" i="11" l="1"/>
  <c r="B8" i="11" s="1"/>
  <c r="B19" i="11" s="1"/>
  <c r="B21" i="11" s="1"/>
  <c r="B6" i="13" s="1"/>
  <c r="B29" i="13"/>
  <c r="B30" i="13" s="1"/>
  <c r="B31" i="13" s="1"/>
  <c r="D7" i="4"/>
  <c r="E5" i="4"/>
  <c r="B11" i="13" l="1"/>
  <c r="B15" i="13" s="1"/>
  <c r="B33" i="13" s="1"/>
  <c r="F5" i="4"/>
  <c r="E7" i="4"/>
  <c r="D8" i="4"/>
  <c r="D9" i="4" s="1"/>
  <c r="D14" i="4" s="1"/>
  <c r="G5" i="4" l="1"/>
  <c r="F7" i="4"/>
  <c r="E8" i="4"/>
  <c r="E9" i="4" l="1"/>
  <c r="E14" i="4" s="1"/>
  <c r="E16" i="4" s="1"/>
  <c r="H5" i="4"/>
  <c r="G7" i="4"/>
  <c r="F8" i="4"/>
  <c r="F9" i="4" s="1"/>
  <c r="F14" i="4" s="1"/>
  <c r="F15" i="4" s="1"/>
  <c r="E15" i="4" l="1"/>
  <c r="F16" i="4"/>
  <c r="G8" i="4"/>
  <c r="G9" i="4" s="1"/>
  <c r="G14" i="4" s="1"/>
  <c r="H7" i="4"/>
  <c r="I5" i="4"/>
  <c r="G16" i="4" l="1"/>
  <c r="G15" i="4"/>
  <c r="I7" i="4"/>
  <c r="H8" i="4"/>
  <c r="H9" i="4" s="1"/>
  <c r="H14" i="4" s="1"/>
  <c r="H16" i="4" l="1"/>
  <c r="H15" i="4"/>
  <c r="I8" i="4"/>
  <c r="I9" i="4" s="1"/>
  <c r="I14" i="4" s="1"/>
  <c r="I15" i="4" s="1"/>
  <c r="M26" i="4" l="1"/>
  <c r="F5" i="6" s="1"/>
  <c r="M27" i="4"/>
  <c r="M25" i="4"/>
  <c r="I16" i="4"/>
  <c r="K16" i="4" s="1"/>
  <c r="C24" i="4"/>
  <c r="E30" i="4"/>
  <c r="C41" i="4"/>
  <c r="G43" i="4"/>
  <c r="E12" i="9"/>
  <c r="B13" i="9"/>
  <c r="J13" i="9"/>
  <c r="G14" i="9"/>
  <c r="D15" i="9"/>
  <c r="L15" i="9"/>
  <c r="I16" i="9"/>
  <c r="F17" i="9"/>
  <c r="C18" i="9"/>
  <c r="K18" i="9"/>
  <c r="H19" i="9"/>
  <c r="E20" i="9"/>
  <c r="B21" i="9"/>
  <c r="J21" i="9"/>
  <c r="G22" i="9"/>
  <c r="D29" i="9"/>
  <c r="L29" i="9"/>
  <c r="I30" i="9"/>
  <c r="F31" i="9"/>
  <c r="C32" i="9"/>
  <c r="K32" i="9"/>
  <c r="H33" i="9"/>
  <c r="E34" i="9"/>
  <c r="B35" i="9"/>
  <c r="J35" i="9"/>
  <c r="G36" i="9"/>
  <c r="D37" i="9"/>
  <c r="L37" i="9"/>
  <c r="I38" i="9"/>
  <c r="F39" i="9"/>
  <c r="E17" i="9"/>
  <c r="E31" i="9"/>
  <c r="C37" i="9"/>
  <c r="E24" i="4"/>
  <c r="M21" i="4" s="1"/>
  <c r="G30" i="4"/>
  <c r="E41" i="4"/>
  <c r="F12" i="9"/>
  <c r="C13" i="9"/>
  <c r="K13" i="9"/>
  <c r="H14" i="9"/>
  <c r="E15" i="9"/>
  <c r="B16" i="9"/>
  <c r="J16" i="9"/>
  <c r="G17" i="9"/>
  <c r="D18" i="9"/>
  <c r="L18" i="9"/>
  <c r="I19" i="9"/>
  <c r="F20" i="9"/>
  <c r="C21" i="9"/>
  <c r="K21" i="9"/>
  <c r="H22" i="9"/>
  <c r="E29" i="9"/>
  <c r="B30" i="9"/>
  <c r="J30" i="9"/>
  <c r="G31" i="9"/>
  <c r="D32" i="9"/>
  <c r="L32" i="9"/>
  <c r="I33" i="9"/>
  <c r="F34" i="9"/>
  <c r="C35" i="9"/>
  <c r="K35" i="9"/>
  <c r="H36" i="9"/>
  <c r="E37" i="9"/>
  <c r="B38" i="9"/>
  <c r="J38" i="9"/>
  <c r="G39" i="9"/>
  <c r="D13" i="9"/>
  <c r="C16" i="9"/>
  <c r="H17" i="9"/>
  <c r="B19" i="9"/>
  <c r="G20" i="9"/>
  <c r="L21" i="9"/>
  <c r="I22" i="9"/>
  <c r="C30" i="9"/>
  <c r="K30" i="9"/>
  <c r="E32" i="9"/>
  <c r="B33" i="9"/>
  <c r="G34" i="9"/>
  <c r="L35" i="9"/>
  <c r="F37" i="9"/>
  <c r="K38" i="9"/>
  <c r="G30" i="9"/>
  <c r="E36" i="9"/>
  <c r="L39" i="9"/>
  <c r="I13" i="9"/>
  <c r="B18" i="9"/>
  <c r="I21" i="9"/>
  <c r="H30" i="9"/>
  <c r="L34" i="9"/>
  <c r="H38" i="9"/>
  <c r="G24" i="4"/>
  <c r="C31" i="4"/>
  <c r="G41" i="4"/>
  <c r="G12" i="9"/>
  <c r="L13" i="9"/>
  <c r="I14" i="9"/>
  <c r="F15" i="9"/>
  <c r="K16" i="9"/>
  <c r="E18" i="9"/>
  <c r="J19" i="9"/>
  <c r="D21" i="9"/>
  <c r="F29" i="9"/>
  <c r="H31" i="9"/>
  <c r="J33" i="9"/>
  <c r="D35" i="9"/>
  <c r="I36" i="9"/>
  <c r="C38" i="9"/>
  <c r="H39" i="9"/>
  <c r="I32" i="9"/>
  <c r="K34" i="9"/>
  <c r="J37" i="9"/>
  <c r="G32" i="4"/>
  <c r="D12" i="9"/>
  <c r="C15" i="9"/>
  <c r="G19" i="9"/>
  <c r="F22" i="9"/>
  <c r="G33" i="9"/>
  <c r="K37" i="9"/>
  <c r="C25" i="4"/>
  <c r="E31" i="4"/>
  <c r="C42" i="4"/>
  <c r="H12" i="9"/>
  <c r="E13" i="9"/>
  <c r="B14" i="9"/>
  <c r="J14" i="9"/>
  <c r="G15" i="9"/>
  <c r="D16" i="9"/>
  <c r="L16" i="9"/>
  <c r="I17" i="9"/>
  <c r="F18" i="9"/>
  <c r="C19" i="9"/>
  <c r="K19" i="9"/>
  <c r="H20" i="9"/>
  <c r="E21" i="9"/>
  <c r="B22" i="9"/>
  <c r="J22" i="9"/>
  <c r="G29" i="9"/>
  <c r="D30" i="9"/>
  <c r="L30" i="9"/>
  <c r="I31" i="9"/>
  <c r="F32" i="9"/>
  <c r="C33" i="9"/>
  <c r="K33" i="9"/>
  <c r="H34" i="9"/>
  <c r="E35" i="9"/>
  <c r="B36" i="9"/>
  <c r="J36" i="9"/>
  <c r="G37" i="9"/>
  <c r="D38" i="9"/>
  <c r="L38" i="9"/>
  <c r="I39" i="9"/>
  <c r="J29" i="9"/>
  <c r="C30" i="4"/>
  <c r="J18" i="9"/>
  <c r="D34" i="9"/>
  <c r="C23" i="4"/>
  <c r="E25" i="4"/>
  <c r="G31" i="4"/>
  <c r="E42" i="4"/>
  <c r="M22" i="4" s="1"/>
  <c r="C8" i="9"/>
  <c r="I12" i="9"/>
  <c r="F13" i="9"/>
  <c r="C14" i="9"/>
  <c r="K14" i="9"/>
  <c r="H15" i="9"/>
  <c r="E16" i="9"/>
  <c r="B17" i="9"/>
  <c r="J17" i="9"/>
  <c r="G18" i="9"/>
  <c r="D19" i="9"/>
  <c r="L19" i="9"/>
  <c r="I20" i="9"/>
  <c r="F21" i="9"/>
  <c r="C22" i="9"/>
  <c r="K22" i="9"/>
  <c r="H29" i="9"/>
  <c r="E30" i="9"/>
  <c r="B31" i="9"/>
  <c r="J31" i="9"/>
  <c r="G32" i="9"/>
  <c r="D33" i="9"/>
  <c r="L33" i="9"/>
  <c r="I34" i="9"/>
  <c r="F35" i="9"/>
  <c r="C36" i="9"/>
  <c r="K36" i="9"/>
  <c r="H37" i="9"/>
  <c r="E38" i="9"/>
  <c r="B39" i="9"/>
  <c r="J39" i="9"/>
  <c r="G23" i="4"/>
  <c r="E32" i="4"/>
  <c r="C43" i="4"/>
  <c r="K12" i="9"/>
  <c r="H13" i="9"/>
  <c r="B15" i="9"/>
  <c r="G16" i="9"/>
  <c r="L17" i="9"/>
  <c r="F19" i="9"/>
  <c r="K20" i="9"/>
  <c r="E22" i="9"/>
  <c r="D31" i="9"/>
  <c r="F33" i="9"/>
  <c r="H35" i="9"/>
  <c r="G38" i="9"/>
  <c r="E43" i="4"/>
  <c r="L12" i="9"/>
  <c r="F14" i="9"/>
  <c r="H16" i="9"/>
  <c r="D20" i="9"/>
  <c r="C29" i="9"/>
  <c r="B32" i="9"/>
  <c r="I35" i="9"/>
  <c r="E39" i="9"/>
  <c r="E23" i="4"/>
  <c r="G25" i="4"/>
  <c r="C32" i="4"/>
  <c r="G42" i="4"/>
  <c r="B12" i="9"/>
  <c r="J12" i="9"/>
  <c r="G13" i="9"/>
  <c r="D14" i="9"/>
  <c r="L14" i="9"/>
  <c r="I15" i="9"/>
  <c r="F16" i="9"/>
  <c r="C17" i="9"/>
  <c r="K17" i="9"/>
  <c r="H18" i="9"/>
  <c r="E19" i="9"/>
  <c r="B20" i="9"/>
  <c r="J20" i="9"/>
  <c r="G21" i="9"/>
  <c r="D22" i="9"/>
  <c r="L22" i="9"/>
  <c r="I29" i="9"/>
  <c r="F30" i="9"/>
  <c r="C31" i="9"/>
  <c r="K31" i="9"/>
  <c r="H32" i="9"/>
  <c r="E33" i="9"/>
  <c r="B34" i="9"/>
  <c r="J34" i="9"/>
  <c r="G35" i="9"/>
  <c r="D36" i="9"/>
  <c r="L36" i="9"/>
  <c r="I37" i="9"/>
  <c r="F38" i="9"/>
  <c r="C39" i="9"/>
  <c r="K39" i="9"/>
  <c r="C12" i="9"/>
  <c r="E14" i="9"/>
  <c r="J15" i="9"/>
  <c r="D17" i="9"/>
  <c r="I18" i="9"/>
  <c r="C20" i="9"/>
  <c r="H21" i="9"/>
  <c r="B29" i="9"/>
  <c r="L31" i="9"/>
  <c r="C34" i="9"/>
  <c r="B37" i="9"/>
  <c r="D39" i="9"/>
  <c r="K15" i="9"/>
  <c r="L20" i="9"/>
  <c r="K29" i="9"/>
  <c r="J32" i="9"/>
  <c r="F36" i="9"/>
  <c r="G49" i="4"/>
  <c r="C50" i="4"/>
  <c r="E49" i="4"/>
  <c r="C48" i="4"/>
  <c r="G50" i="4"/>
  <c r="E48" i="4"/>
  <c r="E50" i="4"/>
  <c r="G48" i="4"/>
  <c r="C49" i="4"/>
  <c r="M23" i="4" l="1"/>
  <c r="F4" i="6" s="1"/>
</calcChain>
</file>

<file path=xl/sharedStrings.xml><?xml version="1.0" encoding="utf-8"?>
<sst xmlns="http://schemas.openxmlformats.org/spreadsheetml/2006/main" count="388" uniqueCount="176">
  <si>
    <t>Enterprise Value</t>
  </si>
  <si>
    <t>Plus: D&amp;A</t>
  </si>
  <si>
    <t>EBIT</t>
  </si>
  <si>
    <t>Average</t>
  </si>
  <si>
    <t>Terminal Value</t>
  </si>
  <si>
    <t>EV/EBITDA Mulltiple</t>
  </si>
  <si>
    <t>Perpetural Growth Rate</t>
  </si>
  <si>
    <t>Discount Rate</t>
  </si>
  <si>
    <t>Tax Rate</t>
  </si>
  <si>
    <t>TACO-BOUT IT Income Statement</t>
  </si>
  <si>
    <t>REVENUES</t>
  </si>
  <si>
    <t>Gross Sales</t>
  </si>
  <si>
    <t>Cost of Goods Sold</t>
  </si>
  <si>
    <t>Advertising</t>
  </si>
  <si>
    <t>Depreciation</t>
  </si>
  <si>
    <t>Utilities</t>
  </si>
  <si>
    <t>COST OF GOODS SOLD</t>
  </si>
  <si>
    <t>EXPENSES</t>
  </si>
  <si>
    <t>Revenue per food order</t>
  </si>
  <si>
    <t>GROSS PROFIT</t>
  </si>
  <si>
    <t>Interest Expense</t>
  </si>
  <si>
    <t>Taco / main food</t>
  </si>
  <si>
    <t>Sides</t>
  </si>
  <si>
    <t>Drinks</t>
  </si>
  <si>
    <t>Total volume of food orders</t>
  </si>
  <si>
    <t>Order volume</t>
  </si>
  <si>
    <t>Employee Salary</t>
  </si>
  <si>
    <t>Ingredients</t>
  </si>
  <si>
    <t>per day</t>
  </si>
  <si>
    <t>Sales Details</t>
  </si>
  <si>
    <t>per year</t>
  </si>
  <si>
    <t>Plus: Non-deductible Goodwill Amort.</t>
  </si>
  <si>
    <t>EBITA</t>
  </si>
  <si>
    <t>Less: Provision for Taxes</t>
  </si>
  <si>
    <t>Unlevered Net Income</t>
  </si>
  <si>
    <t>Less: Capital Expenditures</t>
  </si>
  <si>
    <t>Less: Increase in Net Working Capital</t>
  </si>
  <si>
    <t>Unlevered Free Cash Flow</t>
  </si>
  <si>
    <t>Total Enterprise Value</t>
  </si>
  <si>
    <t>Discount</t>
  </si>
  <si>
    <t>Rate</t>
  </si>
  <si>
    <t>(WACC)</t>
  </si>
  <si>
    <t>Implied Perpetuity Growth Rate</t>
  </si>
  <si>
    <t>Terminal Perpetuity Growth Rate</t>
  </si>
  <si>
    <t>Implied Terminal EBITDA Multiple</t>
  </si>
  <si>
    <t>Truck Purchase Cost</t>
  </si>
  <si>
    <t>Storage Costs</t>
  </si>
  <si>
    <t>Packing Costs (Plates/Boxes/Utensils)</t>
  </si>
  <si>
    <t>Truck Repairs and Maintenance Costs</t>
  </si>
  <si>
    <t>Permit (Parking/Food Handling Safety/Food Licences) Fee</t>
  </si>
  <si>
    <t>Insurance</t>
  </si>
  <si>
    <t>Costs of Ingredients</t>
  </si>
  <si>
    <t>Less: Sales, Returns, Allowances</t>
  </si>
  <si>
    <t>Net Sales</t>
  </si>
  <si>
    <t>Gasoline Expense</t>
  </si>
  <si>
    <t>x</t>
  </si>
  <si>
    <t>Trash Disposal Fee</t>
  </si>
  <si>
    <t>Total Expenses</t>
  </si>
  <si>
    <t>TACO-BOUT IT BUSINESS MODEL</t>
  </si>
  <si>
    <t>Taxes</t>
  </si>
  <si>
    <t>NET OPERATING INCOME / EBIT</t>
  </si>
  <si>
    <t>Avg total order sale</t>
  </si>
  <si>
    <t>Daily Potential Customers</t>
  </si>
  <si>
    <t xml:space="preserve">Market Share % </t>
  </si>
  <si>
    <t>% of Sales</t>
  </si>
  <si>
    <t>Janitorial</t>
  </si>
  <si>
    <t>Credit Card Processing Fee</t>
  </si>
  <si>
    <t>Kitchen Equipment &amp; Generator</t>
  </si>
  <si>
    <t>NET INCOME</t>
  </si>
  <si>
    <t>Unlevered Free Cash Flow Calculations</t>
  </si>
  <si>
    <t>DCF Analysis:  Perpetuity Growth Method</t>
  </si>
  <si>
    <t>Asumptions</t>
  </si>
  <si>
    <t>DCF Analysis:  EBITDA Multiple Method</t>
  </si>
  <si>
    <t>TACO-BOUT IT DISCOUNTED CASH FLOW</t>
  </si>
  <si>
    <t>Other Income - Investment Income</t>
  </si>
  <si>
    <t>5 yr Annual Growth Rate</t>
  </si>
  <si>
    <t>Present Value of Unlevered Future Cash Flow</t>
  </si>
  <si>
    <t>SUM Total</t>
  </si>
  <si>
    <t>OPERATING ASSUMPTIONS</t>
  </si>
  <si>
    <t>Perpetural Growth Method</t>
  </si>
  <si>
    <t>EV/EBITDA Method</t>
  </si>
  <si>
    <t>Simulate Inputs</t>
  </si>
  <si>
    <t>Number of Runs</t>
  </si>
  <si>
    <t>Data During Run</t>
  </si>
  <si>
    <t>Result</t>
  </si>
  <si>
    <t>B5</t>
  </si>
  <si>
    <t>=</t>
  </si>
  <si>
    <t>&lt;- Present Value of Cash Flows for next 5 years</t>
  </si>
  <si>
    <t>TACO-BOUT IT SENSITIVITY ANALYSIS</t>
  </si>
  <si>
    <r>
      <t xml:space="preserve">Deep dive analys on </t>
    </r>
    <r>
      <rPr>
        <b/>
        <i/>
        <sz val="12"/>
        <color theme="1"/>
        <rFont val="Calibri"/>
        <family val="2"/>
        <scheme val="minor"/>
      </rPr>
      <t>Enterprise Value</t>
    </r>
    <r>
      <rPr>
        <i/>
        <sz val="12"/>
        <color theme="1"/>
        <rFont val="Calibri"/>
        <family val="2"/>
        <scheme val="minor"/>
      </rPr>
      <t xml:space="preserve"> impact from changes in 3 core assumptions</t>
    </r>
  </si>
  <si>
    <t>Sales, Returns, Allowances</t>
  </si>
  <si>
    <t>Initial Investment Funding</t>
  </si>
  <si>
    <t>SIMULATE ONE INPUT</t>
  </si>
  <si>
    <t>BULK SIMULATE INPUTS</t>
  </si>
  <si>
    <t>Run Simulation?</t>
  </si>
  <si>
    <t>Results</t>
  </si>
  <si>
    <t>Capital Expendures</t>
  </si>
  <si>
    <t>Change in Net Working Capital</t>
  </si>
  <si>
    <t>5 Yr Annual Growth Rate</t>
  </si>
  <si>
    <t>Perpetural (&gt;5Yr) Growth Rate</t>
  </si>
  <si>
    <t>Year of Latest Financials</t>
  </si>
  <si>
    <t>Forecast</t>
  </si>
  <si>
    <t>Previous</t>
  </si>
  <si>
    <t>Taco/Main Food</t>
  </si>
  <si>
    <t>Market Share %</t>
  </si>
  <si>
    <t>Flag?</t>
  </si>
  <si>
    <t>Credit Card Processing Fees</t>
  </si>
  <si>
    <t>Operating Assumption Model Checklist</t>
  </si>
  <si>
    <t>Bulk Run Sales Details</t>
  </si>
  <si>
    <t>Bulk Run Results</t>
  </si>
  <si>
    <t>% of Sales 1</t>
  </si>
  <si>
    <t>% of Sales 2</t>
  </si>
  <si>
    <t>Sales Details &amp; Expenses</t>
  </si>
  <si>
    <t>Financials</t>
  </si>
  <si>
    <t>Amortization</t>
  </si>
  <si>
    <t>in 2019</t>
  </si>
  <si>
    <t>in 2020</t>
  </si>
  <si>
    <t>in 2021</t>
  </si>
  <si>
    <t>in 2022</t>
  </si>
  <si>
    <t>in 2023</t>
  </si>
  <si>
    <t>Other Capex</t>
  </si>
  <si>
    <t>ENTERPRISE VALUE</t>
  </si>
  <si>
    <t>FINANCES SNAPSHOT</t>
  </si>
  <si>
    <t>TACO-BOUT IT Statement of Cash Flows</t>
  </si>
  <si>
    <t>Operating Cash Flow</t>
  </si>
  <si>
    <t>Plus: Depreciation &amp; Amortization</t>
  </si>
  <si>
    <t>Less: Changes in Working Capital</t>
  </si>
  <si>
    <t>Cash from Operations</t>
  </si>
  <si>
    <t>Investing Cash Flow</t>
  </si>
  <si>
    <t>Investments in Property &amp; Equipment</t>
  </si>
  <si>
    <t>Cash from Investing</t>
  </si>
  <si>
    <t>Financing Cash Flow</t>
  </si>
  <si>
    <t>Issuance (repayment) of debt</t>
  </si>
  <si>
    <t>Issuance (repayment) of equity</t>
  </si>
  <si>
    <t>Cash from Financing</t>
  </si>
  <si>
    <t>Net Increase (decrease) in Cash</t>
  </si>
  <si>
    <t>Opening Cash Balance</t>
  </si>
  <si>
    <t>Closing Cash Balance</t>
  </si>
  <si>
    <t>Time Period</t>
  </si>
  <si>
    <t>Debt Issuance</t>
  </si>
  <si>
    <t>Equity Issuance</t>
  </si>
  <si>
    <t>PPE</t>
  </si>
  <si>
    <t>Net Income</t>
  </si>
  <si>
    <t>SIMULATE MULTPLE INPUTS</t>
  </si>
  <si>
    <t>Assets</t>
  </si>
  <si>
    <t>Current assets:</t>
  </si>
  <si>
    <t>Accounts Receivable</t>
  </si>
  <si>
    <t>Prepaid Expenses</t>
  </si>
  <si>
    <t>Inventory</t>
  </si>
  <si>
    <t>Total current assets</t>
  </si>
  <si>
    <t>Property &amp; Equipment</t>
  </si>
  <si>
    <t>Goodwill</t>
  </si>
  <si>
    <t>Total Assets</t>
  </si>
  <si>
    <t>Liabilities</t>
  </si>
  <si>
    <t>Current Liabilities:</t>
  </si>
  <si>
    <t>Accounts Payable</t>
  </si>
  <si>
    <t>Total current liabilities</t>
  </si>
  <si>
    <t>Long-term debt</t>
  </si>
  <si>
    <t>Other long-term liabilities</t>
  </si>
  <si>
    <t>Total Liabilities</t>
  </si>
  <si>
    <t>Shareholder's Equity</t>
  </si>
  <si>
    <t>Equity Capital</t>
  </si>
  <si>
    <t>Retained Earnings</t>
  </si>
  <si>
    <t>Total Liabilities &amp; Shareholder's Equity</t>
  </si>
  <si>
    <t>Cash</t>
  </si>
  <si>
    <t>Accrued Expenses</t>
  </si>
  <si>
    <t>Check (Assets = Liabilities + Shareholder's Equity)</t>
  </si>
  <si>
    <t>other debt</t>
  </si>
  <si>
    <t>TACO-BOUT IT Balance Sheet</t>
  </si>
  <si>
    <t>Less: Accumulated Depreciation</t>
  </si>
  <si>
    <t>EV/EBITDA Multiple</t>
  </si>
  <si>
    <t>Internal Rate of Return</t>
  </si>
  <si>
    <t>Reinvestment Rate</t>
  </si>
  <si>
    <t>Initial Investment Cost</t>
  </si>
  <si>
    <t>IRR</t>
  </si>
  <si>
    <t>Modified 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</si>
</sst>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0000\P"/>
    <numFmt numFmtId="167" formatCode="0.0\x_);\(0.0\x\);@_)"/>
    <numFmt numFmtId="168" formatCode="0000\A"/>
    <numFmt numFmtId="169" formatCode="mm/dd/yy"/>
    <numFmt numFmtId="170" formatCode="0_);[Red]\(0\)"/>
    <numFmt numFmtId="171" formatCode="0.0%_);\(0.0%\);0.0%_);@_)"/>
    <numFmt numFmtId="172" formatCode="&quot;$&quot;#,##0.0_);\(&quot;$&quot;#,##0.0\);&quot;$&quot;#,##0.0_);@_)"/>
    <numFmt numFmtId="173" formatCode="_(&quot;$&quot;* #,##0_);_(&quot;$&quot;* \(#,##0\);_(&quot;$&quot;* &quot;-&quot;??_);_(@_)"/>
    <numFmt numFmtId="174" formatCode="&quot;$&quot;#,##0_);\(&quot;$&quot;#,##0\);&quot;$&quot;#,##0_);@_)"/>
    <numFmt numFmtId="175" formatCode="0.0%"/>
    <numFmt numFmtId="176" formatCode="0.000"/>
    <numFmt numFmtId="177" formatCode="0.000%"/>
    <numFmt numFmtId="178" formatCode="_(&quot;$&quot;* #,##0.000_);_(&quot;$&quot;* \(#,##0.000\);_(&quot;$&quot;* &quot;-&quot;??_);_(@_)"/>
  </numFmts>
  <fonts count="4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6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12"/>
      <name val="Arial"/>
      <family val="2"/>
    </font>
    <font>
      <i/>
      <sz val="10"/>
      <color indexed="8"/>
      <name val="Arial"/>
      <family val="2"/>
    </font>
    <font>
      <i/>
      <sz val="10"/>
      <color indexed="12"/>
      <name val="Arial"/>
      <family val="2"/>
    </font>
    <font>
      <i/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2"/>
      <color rgb="FF0000FF"/>
      <name val="Calibri"/>
      <family val="2"/>
      <scheme val="minor"/>
    </font>
    <font>
      <sz val="10"/>
      <color rgb="FF0000FF"/>
      <name val="Arial"/>
      <family val="2"/>
    </font>
    <font>
      <i/>
      <sz val="12"/>
      <color rgb="FF0000FF"/>
      <name val="Calibri"/>
      <family val="2"/>
      <scheme val="minor"/>
    </font>
    <font>
      <sz val="12"/>
      <name val="Calibri"/>
      <family val="2"/>
      <scheme val="minor"/>
    </font>
    <font>
      <i/>
      <sz val="12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12"/>
      <color rgb="FFC00000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2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/>
    <xf numFmtId="38" fontId="10" fillId="0" borderId="0" applyFont="0" applyBorder="0" applyAlignment="0" applyProtection="0"/>
    <xf numFmtId="169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4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263">
    <xf numFmtId="0" fontId="0" fillId="0" borderId="0" xfId="0"/>
    <xf numFmtId="0" fontId="10" fillId="0" borderId="0" xfId="14"/>
    <xf numFmtId="0" fontId="0" fillId="3" borderId="0" xfId="0" applyFill="1"/>
    <xf numFmtId="0" fontId="8" fillId="3" borderId="0" xfId="0" applyFont="1" applyFill="1"/>
    <xf numFmtId="0" fontId="3" fillId="3" borderId="0" xfId="0" applyFont="1" applyFill="1"/>
    <xf numFmtId="0" fontId="0" fillId="3" borderId="0" xfId="0" applyFill="1" applyAlignment="1">
      <alignment horizontal="left" indent="1"/>
    </xf>
    <xf numFmtId="0" fontId="3" fillId="3" borderId="0" xfId="0" applyFont="1" applyFill="1" applyAlignment="1">
      <alignment horizontal="left" indent="2"/>
    </xf>
    <xf numFmtId="0" fontId="0" fillId="3" borderId="0" xfId="0" applyFill="1" applyBorder="1"/>
    <xf numFmtId="43" fontId="0" fillId="3" borderId="0" xfId="1" applyFont="1" applyFill="1"/>
    <xf numFmtId="0" fontId="0" fillId="3" borderId="0" xfId="0" applyFill="1" applyAlignment="1">
      <alignment wrapText="1"/>
    </xf>
    <xf numFmtId="0" fontId="19" fillId="4" borderId="0" xfId="0" applyFont="1" applyFill="1"/>
    <xf numFmtId="0" fontId="0" fillId="4" borderId="0" xfId="0" applyFill="1"/>
    <xf numFmtId="0" fontId="20" fillId="5" borderId="0" xfId="0" applyFont="1" applyFill="1"/>
    <xf numFmtId="0" fontId="0" fillId="5" borderId="0" xfId="0" applyFill="1"/>
    <xf numFmtId="0" fontId="19" fillId="4" borderId="0" xfId="4" applyFont="1" applyFill="1"/>
    <xf numFmtId="0" fontId="8" fillId="4" borderId="0" xfId="0" applyFont="1" applyFill="1"/>
    <xf numFmtId="0" fontId="21" fillId="3" borderId="0" xfId="0" applyFont="1" applyFill="1"/>
    <xf numFmtId="0" fontId="0" fillId="3" borderId="0" xfId="0" applyFont="1" applyFill="1"/>
    <xf numFmtId="0" fontId="0" fillId="3" borderId="2" xfId="0" applyFill="1" applyBorder="1"/>
    <xf numFmtId="0" fontId="0" fillId="3" borderId="3" xfId="0" applyFill="1" applyBorder="1"/>
    <xf numFmtId="0" fontId="24" fillId="3" borderId="0" xfId="14" applyFont="1" applyFill="1"/>
    <xf numFmtId="0" fontId="24" fillId="3" borderId="0" xfId="14" applyFont="1" applyFill="1" applyAlignment="1">
      <alignment horizontal="left" indent="1"/>
    </xf>
    <xf numFmtId="173" fontId="0" fillId="3" borderId="0" xfId="0" applyNumberFormat="1" applyFont="1" applyFill="1"/>
    <xf numFmtId="171" fontId="24" fillId="3" borderId="0" xfId="14" applyNumberFormat="1" applyFont="1" applyFill="1"/>
    <xf numFmtId="0" fontId="25" fillId="3" borderId="0" xfId="14" applyFont="1" applyFill="1" applyAlignment="1">
      <alignment horizontal="left" indent="1"/>
    </xf>
    <xf numFmtId="167" fontId="14" fillId="3" borderId="8" xfId="14" applyNumberFormat="1" applyFont="1" applyFill="1" applyBorder="1"/>
    <xf numFmtId="172" fontId="24" fillId="3" borderId="0" xfId="14" applyNumberFormat="1" applyFont="1" applyFill="1"/>
    <xf numFmtId="0" fontId="3" fillId="3" borderId="0" xfId="0" applyFont="1" applyFill="1" applyAlignment="1">
      <alignment horizontal="center"/>
    </xf>
    <xf numFmtId="6" fontId="0" fillId="3" borderId="0" xfId="0" applyNumberFormat="1" applyFont="1" applyFill="1"/>
    <xf numFmtId="0" fontId="28" fillId="3" borderId="0" xfId="14" applyFont="1" applyFill="1"/>
    <xf numFmtId="0" fontId="10" fillId="3" borderId="4" xfId="14" applyFill="1" applyBorder="1"/>
    <xf numFmtId="0" fontId="10" fillId="3" borderId="0" xfId="14" applyFill="1" applyBorder="1"/>
    <xf numFmtId="171" fontId="17" fillId="3" borderId="0" xfId="14" applyNumberFormat="1" applyFont="1" applyFill="1" applyBorder="1"/>
    <xf numFmtId="167" fontId="18" fillId="3" borderId="0" xfId="14" applyNumberFormat="1" applyFont="1" applyFill="1" applyBorder="1"/>
    <xf numFmtId="171" fontId="17" fillId="3" borderId="5" xfId="14" applyNumberFormat="1" applyFont="1" applyFill="1" applyBorder="1"/>
    <xf numFmtId="0" fontId="10" fillId="3" borderId="4" xfId="14" applyFill="1" applyBorder="1" applyAlignment="1">
      <alignment horizontal="right"/>
    </xf>
    <xf numFmtId="0" fontId="10" fillId="3" borderId="6" xfId="14" applyFill="1" applyBorder="1" applyAlignment="1">
      <alignment horizontal="right"/>
    </xf>
    <xf numFmtId="171" fontId="17" fillId="3" borderId="7" xfId="14" applyNumberFormat="1" applyFont="1" applyFill="1" applyBorder="1"/>
    <xf numFmtId="0" fontId="10" fillId="3" borderId="0" xfId="14" applyFill="1"/>
    <xf numFmtId="0" fontId="10" fillId="3" borderId="1" xfId="14" applyFill="1" applyBorder="1"/>
    <xf numFmtId="0" fontId="10" fillId="3" borderId="2" xfId="14" applyFill="1" applyBorder="1"/>
    <xf numFmtId="0" fontId="11" fillId="3" borderId="2" xfId="14" applyFont="1" applyFill="1" applyBorder="1"/>
    <xf numFmtId="0" fontId="10" fillId="3" borderId="3" xfId="14" applyFill="1" applyBorder="1"/>
    <xf numFmtId="0" fontId="10" fillId="3" borderId="0" xfId="14" applyFill="1" applyBorder="1" applyAlignment="1">
      <alignment horizontal="centerContinuous"/>
    </xf>
    <xf numFmtId="0" fontId="10" fillId="3" borderId="5" xfId="14" applyFill="1" applyBorder="1" applyAlignment="1">
      <alignment horizontal="centerContinuous"/>
    </xf>
    <xf numFmtId="167" fontId="14" fillId="3" borderId="0" xfId="14" applyNumberFormat="1" applyFont="1" applyFill="1" applyBorder="1"/>
    <xf numFmtId="167" fontId="10" fillId="3" borderId="0" xfId="14" applyNumberFormat="1" applyFill="1" applyBorder="1"/>
    <xf numFmtId="167" fontId="14" fillId="3" borderId="5" xfId="14" applyNumberFormat="1" applyFont="1" applyFill="1" applyBorder="1"/>
    <xf numFmtId="167" fontId="14" fillId="3" borderId="7" xfId="14" applyNumberFormat="1" applyFont="1" applyFill="1" applyBorder="1"/>
    <xf numFmtId="167" fontId="10" fillId="3" borderId="7" xfId="14" applyNumberFormat="1" applyFill="1" applyBorder="1"/>
    <xf numFmtId="167" fontId="15" fillId="3" borderId="13" xfId="14" applyNumberFormat="1" applyFont="1" applyFill="1" applyBorder="1"/>
    <xf numFmtId="167" fontId="10" fillId="3" borderId="13" xfId="14" applyNumberFormat="1" applyFill="1" applyBorder="1"/>
    <xf numFmtId="167" fontId="15" fillId="3" borderId="15" xfId="14" applyNumberFormat="1" applyFont="1" applyFill="1" applyBorder="1"/>
    <xf numFmtId="171" fontId="16" fillId="3" borderId="0" xfId="14" applyNumberFormat="1" applyFont="1" applyFill="1" applyBorder="1"/>
    <xf numFmtId="171" fontId="18" fillId="3" borderId="0" xfId="14" applyNumberFormat="1" applyFont="1" applyFill="1" applyBorder="1"/>
    <xf numFmtId="171" fontId="16" fillId="3" borderId="11" xfId="14" applyNumberFormat="1" applyFont="1" applyFill="1" applyBorder="1"/>
    <xf numFmtId="171" fontId="16" fillId="3" borderId="5" xfId="14" applyNumberFormat="1" applyFont="1" applyFill="1" applyBorder="1"/>
    <xf numFmtId="171" fontId="16" fillId="3" borderId="7" xfId="14" applyNumberFormat="1" applyFont="1" applyFill="1" applyBorder="1"/>
    <xf numFmtId="171" fontId="18" fillId="3" borderId="7" xfId="14" applyNumberFormat="1" applyFont="1" applyFill="1" applyBorder="1"/>
    <xf numFmtId="171" fontId="16" fillId="3" borderId="8" xfId="14" applyNumberFormat="1" applyFont="1" applyFill="1" applyBorder="1"/>
    <xf numFmtId="2" fontId="0" fillId="0" borderId="0" xfId="0" applyNumberFormat="1"/>
    <xf numFmtId="174" fontId="14" fillId="3" borderId="12" xfId="14" applyNumberFormat="1" applyFont="1" applyFill="1" applyBorder="1"/>
    <xf numFmtId="174" fontId="10" fillId="3" borderId="10" xfId="14" applyNumberFormat="1" applyFont="1" applyFill="1" applyBorder="1"/>
    <xf numFmtId="174" fontId="14" fillId="3" borderId="10" xfId="14" applyNumberFormat="1" applyFont="1" applyFill="1" applyBorder="1"/>
    <xf numFmtId="174" fontId="14" fillId="3" borderId="11" xfId="14" applyNumberFormat="1" applyFont="1" applyFill="1" applyBorder="1"/>
    <xf numFmtId="174" fontId="14" fillId="3" borderId="9" xfId="14" applyNumberFormat="1" applyFont="1" applyFill="1" applyBorder="1"/>
    <xf numFmtId="174" fontId="10" fillId="3" borderId="0" xfId="14" applyNumberFormat="1" applyFont="1" applyFill="1" applyBorder="1"/>
    <xf numFmtId="174" fontId="14" fillId="3" borderId="0" xfId="14" applyNumberFormat="1" applyFont="1" applyFill="1" applyBorder="1"/>
    <xf numFmtId="174" fontId="14" fillId="3" borderId="5" xfId="14" applyNumberFormat="1" applyFont="1" applyFill="1" applyBorder="1"/>
    <xf numFmtId="174" fontId="14" fillId="3" borderId="14" xfId="14" applyNumberFormat="1" applyFont="1" applyFill="1" applyBorder="1"/>
    <xf numFmtId="174" fontId="10" fillId="3" borderId="7" xfId="14" applyNumberFormat="1" applyFont="1" applyFill="1" applyBorder="1"/>
    <xf numFmtId="174" fontId="14" fillId="3" borderId="7" xfId="14" applyNumberFormat="1" applyFont="1" applyFill="1" applyBorder="1"/>
    <xf numFmtId="174" fontId="14" fillId="3" borderId="8" xfId="14" applyNumberFormat="1" applyFont="1" applyFill="1" applyBorder="1"/>
    <xf numFmtId="44" fontId="0" fillId="0" borderId="0" xfId="0" applyNumberFormat="1"/>
    <xf numFmtId="7" fontId="0" fillId="0" borderId="0" xfId="0" applyNumberFormat="1"/>
    <xf numFmtId="8" fontId="0" fillId="0" borderId="0" xfId="0" applyNumberFormat="1"/>
    <xf numFmtId="0" fontId="0" fillId="3" borderId="1" xfId="0" applyFill="1" applyBorder="1"/>
    <xf numFmtId="0" fontId="0" fillId="3" borderId="1" xfId="0" applyFont="1" applyFill="1" applyBorder="1"/>
    <xf numFmtId="171" fontId="35" fillId="3" borderId="4" xfId="14" applyNumberFormat="1" applyFont="1" applyFill="1" applyBorder="1"/>
    <xf numFmtId="171" fontId="35" fillId="3" borderId="6" xfId="14" applyNumberFormat="1" applyFont="1" applyFill="1" applyBorder="1"/>
    <xf numFmtId="167" fontId="35" fillId="3" borderId="16" xfId="14" applyNumberFormat="1" applyFont="1" applyFill="1" applyBorder="1"/>
    <xf numFmtId="167" fontId="35" fillId="3" borderId="17" xfId="14" applyNumberFormat="1" applyFont="1" applyFill="1" applyBorder="1"/>
    <xf numFmtId="9" fontId="0" fillId="3" borderId="0" xfId="0" applyNumberFormat="1" applyFill="1"/>
    <xf numFmtId="173" fontId="26" fillId="3" borderId="0" xfId="2" applyNumberFormat="1" applyFont="1" applyFill="1"/>
    <xf numFmtId="173" fontId="7" fillId="3" borderId="0" xfId="2" applyNumberFormat="1" applyFont="1" applyFill="1"/>
    <xf numFmtId="173" fontId="0" fillId="3" borderId="0" xfId="2" applyNumberFormat="1" applyFont="1" applyFill="1"/>
    <xf numFmtId="173" fontId="3" fillId="3" borderId="0" xfId="2" applyNumberFormat="1" applyFont="1" applyFill="1"/>
    <xf numFmtId="0" fontId="31" fillId="0" borderId="0" xfId="0" applyFont="1"/>
    <xf numFmtId="0" fontId="8" fillId="3" borderId="0" xfId="4" applyFont="1" applyFill="1"/>
    <xf numFmtId="177" fontId="0" fillId="3" borderId="0" xfId="0" applyNumberFormat="1" applyFill="1"/>
    <xf numFmtId="176" fontId="0" fillId="3" borderId="0" xfId="0" applyNumberFormat="1" applyFill="1"/>
    <xf numFmtId="8" fontId="0" fillId="3" borderId="0" xfId="0" applyNumberFormat="1" applyFill="1"/>
    <xf numFmtId="175" fontId="35" fillId="3" borderId="2" xfId="13" applyNumberFormat="1" applyFont="1" applyFill="1" applyBorder="1"/>
    <xf numFmtId="175" fontId="35" fillId="3" borderId="3" xfId="13" applyNumberFormat="1" applyFont="1" applyFill="1" applyBorder="1"/>
    <xf numFmtId="175" fontId="35" fillId="3" borderId="4" xfId="13" applyNumberFormat="1" applyFont="1" applyFill="1" applyBorder="1"/>
    <xf numFmtId="6" fontId="0" fillId="3" borderId="0" xfId="0" applyNumberFormat="1" applyFill="1" applyBorder="1"/>
    <xf numFmtId="6" fontId="0" fillId="3" borderId="5" xfId="0" applyNumberFormat="1" applyFill="1" applyBorder="1"/>
    <xf numFmtId="175" fontId="35" fillId="3" borderId="6" xfId="13" applyNumberFormat="1" applyFont="1" applyFill="1" applyBorder="1"/>
    <xf numFmtId="6" fontId="0" fillId="3" borderId="7" xfId="0" applyNumberFormat="1" applyFill="1" applyBorder="1"/>
    <xf numFmtId="6" fontId="0" fillId="3" borderId="8" xfId="0" applyNumberFormat="1" applyFill="1" applyBorder="1"/>
    <xf numFmtId="8" fontId="32" fillId="3" borderId="1" xfId="0" applyNumberFormat="1" applyFont="1" applyFill="1" applyBorder="1"/>
    <xf numFmtId="0" fontId="13" fillId="6" borderId="1" xfId="0" applyFont="1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ont="1" applyFill="1" applyBorder="1"/>
    <xf numFmtId="0" fontId="0" fillId="6" borderId="0" xfId="0" applyFill="1" applyBorder="1"/>
    <xf numFmtId="9" fontId="33" fillId="6" borderId="5" xfId="13" applyFont="1" applyFill="1" applyBorder="1"/>
    <xf numFmtId="0" fontId="0" fillId="6" borderId="6" xfId="0" applyFill="1" applyBorder="1"/>
    <xf numFmtId="0" fontId="0" fillId="6" borderId="7" xfId="0" applyFill="1" applyBorder="1"/>
    <xf numFmtId="167" fontId="34" fillId="6" borderId="8" xfId="14" applyNumberFormat="1" applyFont="1" applyFill="1" applyBorder="1"/>
    <xf numFmtId="175" fontId="33" fillId="6" borderId="5" xfId="13" applyNumberFormat="1" applyFont="1" applyFill="1" applyBorder="1"/>
    <xf numFmtId="9" fontId="33" fillId="2" borderId="0" xfId="13" applyFont="1" applyFill="1" applyBorder="1"/>
    <xf numFmtId="173" fontId="33" fillId="0" borderId="0" xfId="2" applyNumberFormat="1" applyFont="1" applyFill="1"/>
    <xf numFmtId="173" fontId="40" fillId="3" borderId="0" xfId="2" applyNumberFormat="1" applyFont="1" applyFill="1"/>
    <xf numFmtId="0" fontId="21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7" xfId="0" applyFill="1" applyBorder="1"/>
    <xf numFmtId="173" fontId="0" fillId="0" borderId="0" xfId="2" applyNumberFormat="1" applyFont="1"/>
    <xf numFmtId="167" fontId="14" fillId="3" borderId="12" xfId="14" applyNumberFormat="1" applyFont="1" applyFill="1" applyBorder="1"/>
    <xf numFmtId="171" fontId="10" fillId="3" borderId="10" xfId="14" applyNumberFormat="1" applyFill="1" applyBorder="1"/>
    <xf numFmtId="167" fontId="14" fillId="3" borderId="10" xfId="14" applyNumberFormat="1" applyFont="1" applyFill="1" applyBorder="1"/>
    <xf numFmtId="167" fontId="10" fillId="3" borderId="10" xfId="14" applyNumberFormat="1" applyFill="1" applyBorder="1"/>
    <xf numFmtId="167" fontId="14" fillId="3" borderId="9" xfId="14" applyNumberFormat="1" applyFont="1" applyFill="1" applyBorder="1"/>
    <xf numFmtId="0" fontId="10" fillId="3" borderId="12" xfId="14" applyFill="1" applyBorder="1"/>
    <xf numFmtId="171" fontId="17" fillId="3" borderId="10" xfId="14" applyNumberFormat="1" applyFont="1" applyFill="1" applyBorder="1"/>
    <xf numFmtId="167" fontId="18" fillId="3" borderId="10" xfId="14" applyNumberFormat="1" applyFont="1" applyFill="1" applyBorder="1"/>
    <xf numFmtId="171" fontId="17" fillId="3" borderId="9" xfId="14" applyNumberFormat="1" applyFont="1" applyFill="1" applyBorder="1"/>
    <xf numFmtId="171" fontId="17" fillId="3" borderId="11" xfId="14" applyNumberFormat="1" applyFont="1" applyFill="1" applyBorder="1"/>
    <xf numFmtId="167" fontId="14" fillId="3" borderId="11" xfId="14" applyNumberFormat="1" applyFont="1" applyFill="1" applyBorder="1"/>
    <xf numFmtId="171" fontId="17" fillId="3" borderId="14" xfId="14" applyNumberFormat="1" applyFont="1" applyFill="1" applyBorder="1"/>
    <xf numFmtId="167" fontId="14" fillId="3" borderId="14" xfId="14" applyNumberFormat="1" applyFont="1" applyFill="1" applyBorder="1"/>
    <xf numFmtId="0" fontId="30" fillId="3" borderId="0" xfId="0" applyFont="1" applyFill="1" applyBorder="1"/>
    <xf numFmtId="0" fontId="30" fillId="3" borderId="0" xfId="0" applyFont="1" applyFill="1"/>
    <xf numFmtId="6" fontId="30" fillId="3" borderId="0" xfId="0" applyNumberFormat="1" applyFont="1" applyFill="1"/>
    <xf numFmtId="167" fontId="34" fillId="2" borderId="0" xfId="14" applyNumberFormat="1" applyFont="1" applyFill="1" applyBorder="1"/>
    <xf numFmtId="173" fontId="40" fillId="3" borderId="0" xfId="2" applyNumberFormat="1" applyFont="1" applyFill="1" applyBorder="1"/>
    <xf numFmtId="165" fontId="33" fillId="3" borderId="0" xfId="1" applyNumberFormat="1" applyFont="1" applyFill="1"/>
    <xf numFmtId="0" fontId="31" fillId="0" borderId="0" xfId="0" applyFont="1" applyBorder="1"/>
    <xf numFmtId="0" fontId="31" fillId="0" borderId="0" xfId="0" applyFont="1" applyFill="1"/>
    <xf numFmtId="0" fontId="0" fillId="0" borderId="0" xfId="0" applyFill="1"/>
    <xf numFmtId="168" fontId="7" fillId="3" borderId="25" xfId="4" applyNumberFormat="1" applyFont="1" applyFill="1" applyBorder="1"/>
    <xf numFmtId="166" fontId="7" fillId="3" borderId="25" xfId="4" applyNumberFormat="1" applyFont="1" applyFill="1" applyBorder="1"/>
    <xf numFmtId="0" fontId="7" fillId="3" borderId="25" xfId="4" applyFont="1" applyFill="1" applyBorder="1"/>
    <xf numFmtId="0" fontId="0" fillId="3" borderId="23" xfId="0" applyFont="1" applyFill="1" applyBorder="1"/>
    <xf numFmtId="0" fontId="1" fillId="3" borderId="24" xfId="4" applyFont="1" applyFill="1" applyBorder="1"/>
    <xf numFmtId="0" fontId="21" fillId="3" borderId="18" xfId="0" applyFont="1" applyFill="1" applyBorder="1"/>
    <xf numFmtId="0" fontId="27" fillId="5" borderId="22" xfId="4" applyFont="1" applyFill="1" applyBorder="1" applyAlignment="1">
      <alignment horizontal="center"/>
    </xf>
    <xf numFmtId="0" fontId="12" fillId="7" borderId="0" xfId="0" applyFont="1" applyFill="1"/>
    <xf numFmtId="0" fontId="27" fillId="7" borderId="0" xfId="0" applyFont="1" applyFill="1" applyAlignment="1"/>
    <xf numFmtId="0" fontId="0" fillId="7" borderId="0" xfId="0" applyFill="1" applyAlignment="1"/>
    <xf numFmtId="0" fontId="42" fillId="7" borderId="1" xfId="0" applyFont="1" applyFill="1" applyBorder="1"/>
    <xf numFmtId="0" fontId="3" fillId="7" borderId="2" xfId="0" applyFont="1" applyFill="1" applyBorder="1"/>
    <xf numFmtId="0" fontId="3" fillId="7" borderId="3" xfId="0" applyFont="1" applyFill="1" applyBorder="1"/>
    <xf numFmtId="0" fontId="0" fillId="7" borderId="0" xfId="0" applyFill="1"/>
    <xf numFmtId="0" fontId="0" fillId="7" borderId="21" xfId="0" applyFill="1" applyBorder="1"/>
    <xf numFmtId="44" fontId="0" fillId="7" borderId="21" xfId="2" applyFont="1" applyFill="1" applyBorder="1"/>
    <xf numFmtId="0" fontId="0" fillId="7" borderId="1" xfId="0" applyFill="1" applyBorder="1"/>
    <xf numFmtId="0" fontId="9" fillId="7" borderId="0" xfId="0" applyFont="1" applyFill="1"/>
    <xf numFmtId="0" fontId="0" fillId="7" borderId="4" xfId="0" applyFill="1" applyBorder="1"/>
    <xf numFmtId="0" fontId="13" fillId="7" borderId="0" xfId="0" applyFont="1" applyFill="1"/>
    <xf numFmtId="0" fontId="39" fillId="7" borderId="0" xfId="0" applyFont="1" applyFill="1"/>
    <xf numFmtId="0" fontId="0" fillId="7" borderId="6" xfId="0" applyFill="1" applyBorder="1"/>
    <xf numFmtId="2" fontId="0" fillId="7" borderId="8" xfId="0" applyNumberFormat="1" applyFill="1" applyBorder="1"/>
    <xf numFmtId="0" fontId="0" fillId="7" borderId="3" xfId="0" applyFill="1" applyBorder="1"/>
    <xf numFmtId="0" fontId="0" fillId="7" borderId="21" xfId="0" applyFont="1" applyFill="1" applyBorder="1"/>
    <xf numFmtId="165" fontId="0" fillId="7" borderId="21" xfId="1" applyNumberFormat="1" applyFont="1" applyFill="1" applyBorder="1"/>
    <xf numFmtId="0" fontId="0" fillId="7" borderId="0" xfId="0" applyFill="1" applyBorder="1"/>
    <xf numFmtId="0" fontId="0" fillId="7" borderId="8" xfId="0" applyFill="1" applyBorder="1"/>
    <xf numFmtId="0" fontId="8" fillId="7" borderId="21" xfId="0" applyFont="1" applyFill="1" applyBorder="1"/>
    <xf numFmtId="0" fontId="43" fillId="7" borderId="21" xfId="0" applyFont="1" applyFill="1" applyBorder="1" applyAlignment="1">
      <alignment horizontal="left" indent="1"/>
    </xf>
    <xf numFmtId="9" fontId="0" fillId="7" borderId="21" xfId="13" applyFont="1" applyFill="1" applyBorder="1"/>
    <xf numFmtId="0" fontId="3" fillId="7" borderId="0" xfId="0" applyFont="1" applyFill="1"/>
    <xf numFmtId="0" fontId="8" fillId="7" borderId="0" xfId="0" applyFont="1" applyFill="1"/>
    <xf numFmtId="0" fontId="8" fillId="7" borderId="0" xfId="0" applyFont="1" applyFill="1" applyAlignment="1">
      <alignment horizontal="left" indent="1"/>
    </xf>
    <xf numFmtId="0" fontId="0" fillId="7" borderId="21" xfId="0" applyFont="1" applyFill="1" applyBorder="1" applyAlignment="1">
      <alignment horizontal="left"/>
    </xf>
    <xf numFmtId="0" fontId="0" fillId="7" borderId="0" xfId="0" applyFont="1" applyFill="1" applyAlignment="1">
      <alignment horizontal="left"/>
    </xf>
    <xf numFmtId="178" fontId="0" fillId="7" borderId="0" xfId="2" applyNumberFormat="1" applyFont="1" applyFill="1"/>
    <xf numFmtId="173" fontId="0" fillId="0" borderId="0" xfId="2" applyNumberFormat="1" applyFont="1" applyFill="1"/>
    <xf numFmtId="0" fontId="3" fillId="5" borderId="0" xfId="0" applyFont="1" applyFill="1"/>
    <xf numFmtId="173" fontId="3" fillId="5" borderId="0" xfId="2" applyNumberFormat="1" applyFont="1" applyFill="1"/>
    <xf numFmtId="0" fontId="3" fillId="5" borderId="0" xfId="0" applyFont="1" applyFill="1" applyAlignment="1">
      <alignment horizontal="center"/>
    </xf>
    <xf numFmtId="173" fontId="3" fillId="5" borderId="0" xfId="0" applyNumberFormat="1" applyFont="1" applyFill="1"/>
    <xf numFmtId="174" fontId="23" fillId="3" borderId="5" xfId="0" applyNumberFormat="1" applyFont="1" applyFill="1" applyBorder="1"/>
    <xf numFmtId="174" fontId="19" fillId="3" borderId="8" xfId="0" applyNumberFormat="1" applyFont="1" applyFill="1" applyBorder="1"/>
    <xf numFmtId="173" fontId="0" fillId="4" borderId="0" xfId="2" applyNumberFormat="1" applyFont="1" applyFill="1"/>
    <xf numFmtId="173" fontId="33" fillId="3" borderId="0" xfId="2" applyNumberFormat="1" applyFont="1" applyFill="1"/>
    <xf numFmtId="0" fontId="3" fillId="3" borderId="10" xfId="0" applyFont="1" applyFill="1" applyBorder="1"/>
    <xf numFmtId="173" fontId="3" fillId="3" borderId="10" xfId="2" applyNumberFormat="1" applyFont="1" applyFill="1" applyBorder="1"/>
    <xf numFmtId="173" fontId="46" fillId="3" borderId="0" xfId="2" applyNumberFormat="1" applyFont="1" applyFill="1"/>
    <xf numFmtId="0" fontId="0" fillId="3" borderId="10" xfId="0" applyFill="1" applyBorder="1"/>
    <xf numFmtId="173" fontId="0" fillId="3" borderId="10" xfId="2" applyNumberFormat="1" applyFont="1" applyFill="1" applyBorder="1"/>
    <xf numFmtId="173" fontId="36" fillId="3" borderId="0" xfId="2" applyNumberFormat="1" applyFont="1" applyFill="1"/>
    <xf numFmtId="0" fontId="26" fillId="3" borderId="0" xfId="0" applyFont="1" applyFill="1"/>
    <xf numFmtId="0" fontId="47" fillId="3" borderId="0" xfId="0" applyFont="1" applyFill="1" applyAlignment="1">
      <alignment wrapText="1"/>
    </xf>
    <xf numFmtId="173" fontId="0" fillId="3" borderId="0" xfId="2" applyNumberFormat="1" applyFont="1" applyFill="1" applyBorder="1"/>
    <xf numFmtId="0" fontId="19" fillId="3" borderId="10" xfId="0" applyFont="1" applyFill="1" applyBorder="1"/>
    <xf numFmtId="0" fontId="19" fillId="3" borderId="26" xfId="0" applyFont="1" applyFill="1" applyBorder="1"/>
    <xf numFmtId="173" fontId="0" fillId="3" borderId="26" xfId="2" applyNumberFormat="1" applyFont="1" applyFill="1" applyBorder="1"/>
    <xf numFmtId="0" fontId="20" fillId="3" borderId="10" xfId="0" applyFont="1" applyFill="1" applyBorder="1"/>
    <xf numFmtId="0" fontId="20" fillId="3" borderId="26" xfId="0" applyFont="1" applyFill="1" applyBorder="1"/>
    <xf numFmtId="0" fontId="33" fillId="7" borderId="3" xfId="0" applyFont="1" applyFill="1" applyBorder="1" applyAlignment="1">
      <alignment horizontal="right"/>
    </xf>
    <xf numFmtId="0" fontId="33" fillId="7" borderId="5" xfId="0" applyFont="1" applyFill="1" applyBorder="1"/>
    <xf numFmtId="0" fontId="8" fillId="7" borderId="0" xfId="0" applyFont="1" applyFill="1" applyAlignment="1"/>
    <xf numFmtId="0" fontId="9" fillId="0" borderId="1" xfId="0" applyFont="1" applyBorder="1"/>
    <xf numFmtId="44" fontId="33" fillId="2" borderId="0" xfId="2" applyNumberFormat="1" applyFont="1" applyFill="1" applyBorder="1"/>
    <xf numFmtId="165" fontId="33" fillId="2" borderId="0" xfId="1" applyNumberFormat="1" applyFont="1" applyFill="1" applyBorder="1"/>
    <xf numFmtId="9" fontId="35" fillId="2" borderId="0" xfId="0" applyNumberFormat="1" applyFont="1" applyFill="1" applyBorder="1"/>
    <xf numFmtId="9" fontId="35" fillId="2" borderId="0" xfId="13" applyFont="1" applyFill="1" applyBorder="1"/>
    <xf numFmtId="173" fontId="33" fillId="2" borderId="0" xfId="2" applyNumberFormat="1" applyFont="1" applyFill="1" applyBorder="1"/>
    <xf numFmtId="0" fontId="13" fillId="3" borderId="4" xfId="0" applyFont="1" applyFill="1" applyBorder="1"/>
    <xf numFmtId="0" fontId="3" fillId="3" borderId="4" xfId="0" applyFont="1" applyFill="1" applyBorder="1"/>
    <xf numFmtId="0" fontId="44" fillId="3" borderId="4" xfId="0" applyFont="1" applyFill="1" applyBorder="1" applyAlignment="1">
      <alignment horizontal="left" indent="1"/>
    </xf>
    <xf numFmtId="0" fontId="8" fillId="3" borderId="4" xfId="0" applyFont="1" applyFill="1" applyBorder="1"/>
    <xf numFmtId="0" fontId="0" fillId="3" borderId="4" xfId="0" applyFont="1" applyFill="1" applyBorder="1" applyAlignment="1">
      <alignment horizontal="left"/>
    </xf>
    <xf numFmtId="0" fontId="0" fillId="3" borderId="4" xfId="0" applyFont="1" applyFill="1" applyBorder="1"/>
    <xf numFmtId="0" fontId="0" fillId="3" borderId="6" xfId="0" applyFont="1" applyFill="1" applyBorder="1"/>
    <xf numFmtId="0" fontId="0" fillId="3" borderId="5" xfId="0" applyFill="1" applyBorder="1"/>
    <xf numFmtId="0" fontId="37" fillId="3" borderId="0" xfId="0" applyFont="1" applyFill="1"/>
    <xf numFmtId="0" fontId="38" fillId="3" borderId="0" xfId="0" applyFont="1" applyFill="1" applyAlignment="1"/>
    <xf numFmtId="0" fontId="27" fillId="3" borderId="0" xfId="0" applyFont="1" applyFill="1" applyAlignment="1"/>
    <xf numFmtId="0" fontId="45" fillId="3" borderId="1" xfId="0" applyFont="1" applyFill="1" applyBorder="1"/>
    <xf numFmtId="173" fontId="0" fillId="3" borderId="5" xfId="2" applyNumberFormat="1" applyFont="1" applyFill="1" applyBorder="1"/>
    <xf numFmtId="0" fontId="3" fillId="3" borderId="6" xfId="0" applyFont="1" applyFill="1" applyBorder="1"/>
    <xf numFmtId="0" fontId="8" fillId="3" borderId="5" xfId="0" applyFont="1" applyFill="1" applyBorder="1"/>
    <xf numFmtId="0" fontId="0" fillId="3" borderId="8" xfId="0" applyFill="1" applyBorder="1"/>
    <xf numFmtId="44" fontId="0" fillId="3" borderId="0" xfId="2" applyNumberFormat="1" applyFont="1" applyFill="1" applyBorder="1"/>
    <xf numFmtId="165" fontId="0" fillId="3" borderId="0" xfId="1" applyNumberFormat="1" applyFont="1" applyFill="1" applyBorder="1"/>
    <xf numFmtId="3" fontId="0" fillId="3" borderId="0" xfId="0" applyNumberFormat="1" applyFill="1" applyBorder="1"/>
    <xf numFmtId="173" fontId="36" fillId="3" borderId="0" xfId="2" applyNumberFormat="1" applyFont="1" applyFill="1" applyBorder="1"/>
    <xf numFmtId="173" fontId="33" fillId="3" borderId="0" xfId="2" applyNumberFormat="1" applyFont="1" applyFill="1" applyBorder="1"/>
    <xf numFmtId="0" fontId="37" fillId="4" borderId="0" xfId="0" applyFont="1" applyFill="1"/>
    <xf numFmtId="173" fontId="8" fillId="3" borderId="0" xfId="2" applyNumberFormat="1" applyFont="1" applyFill="1"/>
    <xf numFmtId="173" fontId="20" fillId="5" borderId="0" xfId="2" applyNumberFormat="1" applyFont="1" applyFill="1"/>
    <xf numFmtId="173" fontId="0" fillId="5" borderId="0" xfId="2" applyNumberFormat="1" applyFont="1" applyFill="1"/>
    <xf numFmtId="173" fontId="22" fillId="5" borderId="0" xfId="2" applyNumberFormat="1" applyFont="1" applyFill="1"/>
    <xf numFmtId="173" fontId="23" fillId="4" borderId="0" xfId="2" applyNumberFormat="1" applyFont="1" applyFill="1"/>
    <xf numFmtId="173" fontId="19" fillId="4" borderId="0" xfId="2" applyNumberFormat="1" applyFont="1" applyFill="1"/>
    <xf numFmtId="0" fontId="12" fillId="4" borderId="0" xfId="0" applyFont="1" applyFill="1"/>
    <xf numFmtId="9" fontId="33" fillId="2" borderId="7" xfId="13" applyFont="1" applyFill="1" applyBorder="1"/>
    <xf numFmtId="173" fontId="31" fillId="3" borderId="0" xfId="2" applyNumberFormat="1" applyFont="1" applyFill="1"/>
    <xf numFmtId="167" fontId="34" fillId="6" borderId="5" xfId="14" applyNumberFormat="1" applyFont="1" applyFill="1" applyBorder="1"/>
    <xf numFmtId="173" fontId="33" fillId="6" borderId="5" xfId="2" applyNumberFormat="1" applyFont="1" applyFill="1" applyBorder="1"/>
    <xf numFmtId="9" fontId="0" fillId="3" borderId="8" xfId="13" applyFont="1" applyFill="1" applyBorder="1"/>
    <xf numFmtId="8" fontId="0" fillId="3" borderId="3" xfId="0" applyNumberFormat="1" applyFill="1" applyBorder="1"/>
    <xf numFmtId="9" fontId="0" fillId="3" borderId="5" xfId="0" applyNumberFormat="1" applyFill="1" applyBorder="1"/>
    <xf numFmtId="9" fontId="0" fillId="3" borderId="8" xfId="0" applyNumberFormat="1" applyFill="1" applyBorder="1"/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41" fillId="7" borderId="1" xfId="0" applyFont="1" applyFill="1" applyBorder="1" applyAlignment="1">
      <alignment horizontal="center"/>
    </xf>
    <xf numFmtId="0" fontId="41" fillId="7" borderId="3" xfId="0" applyFont="1" applyFill="1" applyBorder="1" applyAlignment="1">
      <alignment horizontal="center"/>
    </xf>
    <xf numFmtId="0" fontId="41" fillId="7" borderId="6" xfId="0" applyFont="1" applyFill="1" applyBorder="1" applyAlignment="1">
      <alignment horizontal="center"/>
    </xf>
    <xf numFmtId="0" fontId="41" fillId="7" borderId="8" xfId="0" applyFont="1" applyFill="1" applyBorder="1" applyAlignment="1">
      <alignment horizontal="center"/>
    </xf>
    <xf numFmtId="0" fontId="11" fillId="3" borderId="1" xfId="14" applyFont="1" applyFill="1" applyBorder="1" applyAlignment="1">
      <alignment horizontal="center"/>
    </xf>
    <xf numFmtId="0" fontId="11" fillId="3" borderId="2" xfId="14" applyFont="1" applyFill="1" applyBorder="1" applyAlignment="1">
      <alignment horizontal="center"/>
    </xf>
    <xf numFmtId="0" fontId="11" fillId="3" borderId="3" xfId="14" applyFont="1" applyFill="1" applyBorder="1" applyAlignment="1">
      <alignment horizontal="center"/>
    </xf>
    <xf numFmtId="0" fontId="10" fillId="3" borderId="4" xfId="14" applyFill="1" applyBorder="1" applyAlignment="1">
      <alignment horizontal="center"/>
    </xf>
    <xf numFmtId="0" fontId="10" fillId="3" borderId="0" xfId="14" applyFill="1" applyBorder="1" applyAlignment="1">
      <alignment horizontal="center"/>
    </xf>
    <xf numFmtId="0" fontId="10" fillId="3" borderId="5" xfId="14" applyFill="1" applyBorder="1" applyAlignment="1">
      <alignment horizontal="center"/>
    </xf>
    <xf numFmtId="0" fontId="27" fillId="5" borderId="23" xfId="4" applyNumberFormat="1" applyFont="1" applyFill="1" applyBorder="1" applyAlignment="1">
      <alignment horizontal="center"/>
    </xf>
    <xf numFmtId="0" fontId="27" fillId="5" borderId="24" xfId="4" applyNumberFormat="1" applyFont="1" applyFill="1" applyBorder="1" applyAlignment="1">
      <alignment horizontal="center"/>
    </xf>
  </cellXfs>
  <cellStyles count="16">
    <cellStyle name="Comma" xfId="1" builtinId="3"/>
    <cellStyle name="Comma 2" xfId="3" xr:uid="{00000000-0005-0000-0000-000001000000}"/>
    <cellStyle name="Comma 3" xfId="15" xr:uid="{42D5FC0D-59AF-4B7F-B701-29D3179EBFA2}"/>
    <cellStyle name="Currency" xfId="2" builtinId="4"/>
    <cellStyle name="Date" xfId="10" xr:uid="{00000000-0005-0000-0000-000003000000}"/>
    <cellStyle name="Fixed" xfId="11" xr:uid="{00000000-0005-0000-0000-000004000000}"/>
    <cellStyle name="Hyperlink 2" xfId="6" xr:uid="{00000000-0005-0000-0000-000006000000}"/>
    <cellStyle name="Hyperlink 3" xfId="7" xr:uid="{00000000-0005-0000-0000-000007000000}"/>
    <cellStyle name="Normal" xfId="0" builtinId="0"/>
    <cellStyle name="Normal 2" xfId="4" xr:uid="{00000000-0005-0000-0000-000009000000}"/>
    <cellStyle name="Normal 2 2 2" xfId="8" xr:uid="{00000000-0005-0000-0000-00000A000000}"/>
    <cellStyle name="Normal 3" xfId="9" xr:uid="{00000000-0005-0000-0000-00000B000000}"/>
    <cellStyle name="Normal 4" xfId="14" xr:uid="{9D177489-10B6-420B-B0BD-AAA42E37F66C}"/>
    <cellStyle name="Percent" xfId="13" builtinId="5"/>
    <cellStyle name="Percent 2" xfId="5" xr:uid="{00000000-0005-0000-0000-00000C000000}"/>
    <cellStyle name="Text" xfId="12" xr:uid="{00000000-0005-0000-0000-00000D000000}"/>
  </cellStyles>
  <dxfs count="3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Medium7"/>
  <colors>
    <mruColors>
      <color rgb="FFCC0000"/>
      <color rgb="FF0000FF"/>
      <color rgb="FFFA8E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EV/EBITDA Multiple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DCF!$O$2</c:f>
              <c:strCache>
                <c:ptCount val="1"/>
                <c:pt idx="0">
                  <c:v>Discount Rate 10.8%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DCF!$O$5:$O$7</c:f>
              <c:strCache>
                <c:ptCount val="3"/>
                <c:pt idx="0">
                  <c:v>Perpetual Growth Rate 3.6%</c:v>
                </c:pt>
                <c:pt idx="1">
                  <c:v>Perpetual Growth Rate 4%</c:v>
                </c:pt>
                <c:pt idx="2">
                  <c:v>Perpetual Growth Rate 4.4%</c:v>
                </c:pt>
              </c:strCache>
            </c:strRef>
          </c:cat>
          <c:val>
            <c:numRef>
              <c:f>(DCF!$C$30,DCF!$E$30,DCF!$G$30)</c:f>
              <c:numCache>
                <c:formatCode>0.0\x_);\(0.0\x\);@_)</c:formatCode>
                <c:ptCount val="3"/>
                <c:pt idx="0">
                  <c:v>8.9627158528759292</c:v>
                </c:pt>
                <c:pt idx="1">
                  <c:v>9.5265751059412533</c:v>
                </c:pt>
                <c:pt idx="2">
                  <c:v>10.160916765639746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2-465D-83B8-A1F4D2DE2F81}"/>
            </c:ext>
          </c:extLst>
        </c:ser>
        <c:ser>
          <c:idx val="1"/>
          <c:order val="1"/>
          <c:tx>
            <c:strRef>
              <c:f>DCF!$O$3</c:f>
              <c:strCache>
                <c:ptCount val="1"/>
                <c:pt idx="0">
                  <c:v>Discount Rate 12%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DCF!$O$5:$O$7</c:f>
              <c:strCache>
                <c:ptCount val="3"/>
                <c:pt idx="0">
                  <c:v>Perpetual Growth Rate 3.6%</c:v>
                </c:pt>
                <c:pt idx="1">
                  <c:v>Perpetual Growth Rate 4%</c:v>
                </c:pt>
                <c:pt idx="2">
                  <c:v>Perpetual Growth Rate 4.4%</c:v>
                </c:pt>
              </c:strCache>
            </c:strRef>
          </c:cat>
          <c:val>
            <c:numRef>
              <c:f>(DCF!$C$31,DCF!$E$31,DCF!$G$31)</c:f>
              <c:numCache>
                <c:formatCode>0.0\x_);\(0.0\x\);@_)</c:formatCode>
                <c:ptCount val="3"/>
                <c:pt idx="0">
                  <c:v>7.6823278738936525</c:v>
                </c:pt>
                <c:pt idx="1">
                  <c:v>8.0975888400500668</c:v>
                </c:pt>
                <c:pt idx="2">
                  <c:v>8.556561486854525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2-465D-83B8-A1F4D2DE2F81}"/>
            </c:ext>
          </c:extLst>
        </c:ser>
        <c:ser>
          <c:idx val="2"/>
          <c:order val="2"/>
          <c:tx>
            <c:strRef>
              <c:f>DCF!$O$4</c:f>
              <c:strCache>
                <c:ptCount val="1"/>
                <c:pt idx="0">
                  <c:v>Discount Rate 13.2%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DCF!$O$5:$O$7</c:f>
              <c:strCache>
                <c:ptCount val="3"/>
                <c:pt idx="0">
                  <c:v>Perpetual Growth Rate 3.6%</c:v>
                </c:pt>
                <c:pt idx="1">
                  <c:v>Perpetual Growth Rate 4%</c:v>
                </c:pt>
                <c:pt idx="2">
                  <c:v>Perpetual Growth Rate 4.4%</c:v>
                </c:pt>
              </c:strCache>
            </c:strRef>
          </c:cat>
          <c:val>
            <c:numRef>
              <c:f>(DCF!$C$32,DCF!$E$32,DCF!$G$32)</c:f>
              <c:numCache>
                <c:formatCode>0.0\x_);\(0.0\x\);@_)</c:formatCode>
                <c:ptCount val="3"/>
                <c:pt idx="0">
                  <c:v>6.7220368896569456</c:v>
                </c:pt>
                <c:pt idx="1">
                  <c:v>7.0413816000435361</c:v>
                </c:pt>
                <c:pt idx="2">
                  <c:v>7.3897576477379969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F2-465D-83B8-A1F4D2DE2F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40297584"/>
        <c:axId val="430443776"/>
      </c:barChart>
      <c:catAx>
        <c:axId val="44029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43776"/>
        <c:crosses val="autoZero"/>
        <c:auto val="1"/>
        <c:lblAlgn val="ctr"/>
        <c:lblOffset val="100"/>
        <c:noMultiLvlLbl val="0"/>
      </c:catAx>
      <c:valAx>
        <c:axId val="430443776"/>
        <c:scaling>
          <c:orientation val="minMax"/>
        </c:scaling>
        <c:delete val="0"/>
        <c:axPos val="l"/>
        <c:numFmt formatCode="0.0\x_);\(0.0\x\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9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Enterprise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1639886281282"/>
          <c:y val="0.12687078149863648"/>
          <c:w val="0.8921836011371872"/>
          <c:h val="0.732036307456900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DCF!$O$2</c:f>
              <c:strCache>
                <c:ptCount val="1"/>
                <c:pt idx="0">
                  <c:v>Discount Rate 10.8%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DCF!$O$5:$O$7</c:f>
              <c:strCache>
                <c:ptCount val="3"/>
                <c:pt idx="0">
                  <c:v>Perpetual Growth Rate 3.6%</c:v>
                </c:pt>
                <c:pt idx="1">
                  <c:v>Perpetual Growth Rate 4%</c:v>
                </c:pt>
                <c:pt idx="2">
                  <c:v>Perpetual Growth Rate 4.4%</c:v>
                </c:pt>
              </c:strCache>
            </c:strRef>
          </c:cat>
          <c:val>
            <c:numRef>
              <c:f>(DCF!$C$23,DCF!$E$23,DCF!$G$23)</c:f>
              <c:numCache>
                <c:formatCode>"$"#,##0_);\("$"#,##0\);"$"#,##0_);@_)</c:formatCode>
                <c:ptCount val="3"/>
                <c:pt idx="0">
                  <c:v>3278237.695371063</c:v>
                </c:pt>
                <c:pt idx="1">
                  <c:v>3441689.5293089189</c:v>
                </c:pt>
                <c:pt idx="2">
                  <c:v>3625572.8424890069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C-46FE-8F10-93C1EDF011CA}"/>
            </c:ext>
          </c:extLst>
        </c:ser>
        <c:ser>
          <c:idx val="1"/>
          <c:order val="1"/>
          <c:tx>
            <c:strRef>
              <c:f>DCF!$O$3</c:f>
              <c:strCache>
                <c:ptCount val="1"/>
                <c:pt idx="0">
                  <c:v>Discount Rate 12%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DCF!$O$5:$O$7</c:f>
              <c:strCache>
                <c:ptCount val="3"/>
                <c:pt idx="0">
                  <c:v>Perpetual Growth Rate 3.6%</c:v>
                </c:pt>
                <c:pt idx="1">
                  <c:v>Perpetual Growth Rate 4%</c:v>
                </c:pt>
                <c:pt idx="2">
                  <c:v>Perpetual Growth Rate 4.4%</c:v>
                </c:pt>
              </c:strCache>
            </c:strRef>
          </c:cat>
          <c:val>
            <c:numRef>
              <c:f>(DCF!$C$24,DCF!$E$24,DCF!$G$24)</c:f>
              <c:numCache>
                <c:formatCode>"$"#,##0_);\("$"#,##0\);"$"#,##0_);@_)</c:formatCode>
                <c:ptCount val="3"/>
                <c:pt idx="0">
                  <c:v>2766381.7584368279</c:v>
                </c:pt>
                <c:pt idx="1">
                  <c:v>2880445.8339079684</c:v>
                </c:pt>
                <c:pt idx="2">
                  <c:v>3006516.6541655436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AC-46FE-8F10-93C1EDF011CA}"/>
            </c:ext>
          </c:extLst>
        </c:ser>
        <c:ser>
          <c:idx val="2"/>
          <c:order val="2"/>
          <c:tx>
            <c:strRef>
              <c:f>DCF!$O$4</c:f>
              <c:strCache>
                <c:ptCount val="1"/>
                <c:pt idx="0">
                  <c:v>Discount Rate 13.2%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DCF!$O$5:$O$7</c:f>
              <c:strCache>
                <c:ptCount val="3"/>
                <c:pt idx="0">
                  <c:v>Perpetual Growth Rate 3.6%</c:v>
                </c:pt>
                <c:pt idx="1">
                  <c:v>Perpetual Growth Rate 4%</c:v>
                </c:pt>
                <c:pt idx="2">
                  <c:v>Perpetual Growth Rate 4.4%</c:v>
                </c:pt>
              </c:strCache>
            </c:strRef>
          </c:cat>
          <c:val>
            <c:numRef>
              <c:f>(DCF!$C$25,DCF!$E$25,DCF!$G$25)</c:f>
              <c:numCache>
                <c:formatCode>"$"#,##0_);\("$"#,##0\);"$"#,##0_);@_)</c:formatCode>
                <c:ptCount val="3"/>
                <c:pt idx="0">
                  <c:v>2384095.8705647672</c:v>
                </c:pt>
                <c:pt idx="1">
                  <c:v>2467261.8067495436</c:v>
                </c:pt>
                <c:pt idx="2">
                  <c:v>2557988.2825874817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AC-46FE-8F10-93C1EDF011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37861984"/>
        <c:axId val="437862376"/>
      </c:barChart>
      <c:catAx>
        <c:axId val="4378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2376"/>
        <c:crosses val="autoZero"/>
        <c:auto val="1"/>
        <c:lblAlgn val="ctr"/>
        <c:lblOffset val="100"/>
        <c:noMultiLvlLbl val="0"/>
      </c:catAx>
      <c:valAx>
        <c:axId val="437862376"/>
        <c:scaling>
          <c:orientation val="minMax"/>
        </c:scaling>
        <c:delete val="0"/>
        <c:axPos val="l"/>
        <c:numFmt formatCode="&quot;$&quot;#,##0_);\(&quot;$&quot;#,##0\);&quot;$&quot;#,##0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</c:f>
          <c:strCache>
            <c:ptCount val="1"/>
            <c:pt idx="0">
              <c:v>Taco-Bout It Projected Cash Flows 2019-2023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DCF!$E$4</c:f>
              <c:strCache>
                <c:ptCount val="1"/>
                <c:pt idx="0">
                  <c:v>2019P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2019,2020,2021,2022,2023</c:v>
              </c:pt>
            </c:strLit>
          </c:cat>
          <c:val>
            <c:numRef>
              <c:f>DCF!$E$14</c:f>
              <c:numCache>
                <c:formatCode>_("$"* #,##0_);_("$"* \(#,##0\);_("$"* "-"??_);_(@_)</c:formatCode>
                <c:ptCount val="1"/>
                <c:pt idx="0">
                  <c:v>111899.57858109771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E-43F3-88A5-D38DF4807DF9}"/>
            </c:ext>
          </c:extLst>
        </c:ser>
        <c:ser>
          <c:idx val="1"/>
          <c:order val="1"/>
          <c:tx>
            <c:strRef>
              <c:f>DCF!$F$4</c:f>
              <c:strCache>
                <c:ptCount val="1"/>
                <c:pt idx="0">
                  <c:v>2020P</c:v>
                </c:pt>
              </c:strCache>
            </c:strRef>
          </c:tx>
          <c:spPr>
            <a:noFill/>
            <a:ln w="25400" cap="flat" cmpd="sng" algn="ctr">
              <a:solidFill>
                <a:schemeClr val="accent2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2019,2020,2021,2022,2023</c:v>
              </c:pt>
            </c:strLit>
          </c:cat>
          <c:val>
            <c:numRef>
              <c:f>DCF!$F$14</c:f>
              <c:numCache>
                <c:formatCode>_("$"* #,##0_);_("$"* \(#,##0\);_("$"* "-"??_);_(@_)</c:formatCode>
                <c:ptCount val="1"/>
                <c:pt idx="0">
                  <c:v>126894.55751015263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E-43F3-88A5-D38DF4807DF9}"/>
            </c:ext>
          </c:extLst>
        </c:ser>
        <c:ser>
          <c:idx val="2"/>
          <c:order val="2"/>
          <c:tx>
            <c:strRef>
              <c:f>DCF!$G$4</c:f>
              <c:strCache>
                <c:ptCount val="1"/>
                <c:pt idx="0">
                  <c:v>2021P</c:v>
                </c:pt>
              </c:strCache>
            </c:strRef>
          </c:tx>
          <c:spPr>
            <a:noFill/>
            <a:ln w="25400" cap="flat" cmpd="sng" algn="ctr">
              <a:solidFill>
                <a:schemeClr val="accent3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2019,2020,2021,2022,2023</c:v>
              </c:pt>
            </c:strLit>
          </c:cat>
          <c:val>
            <c:numRef>
              <c:f>DCF!$G$14</c:f>
              <c:numCache>
                <c:formatCode>_("$"* #,##0_);_("$"* \(#,##0\);_("$"* "-"??_);_(@_)</c:formatCode>
                <c:ptCount val="1"/>
                <c:pt idx="0">
                  <c:v>167639.28538566025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5E-43F3-88A5-D38DF4807DF9}"/>
            </c:ext>
          </c:extLst>
        </c:ser>
        <c:ser>
          <c:idx val="3"/>
          <c:order val="3"/>
          <c:tx>
            <c:strRef>
              <c:f>DCF!$H$4</c:f>
              <c:strCache>
                <c:ptCount val="1"/>
                <c:pt idx="0">
                  <c:v>2022P</c:v>
                </c:pt>
              </c:strCache>
            </c:strRef>
          </c:tx>
          <c:spPr>
            <a:noFill/>
            <a:ln w="25400" cap="flat" cmpd="sng" algn="ctr">
              <a:solidFill>
                <a:schemeClr val="accent4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2019,2020,2021,2022,2023</c:v>
              </c:pt>
            </c:strLit>
          </c:cat>
          <c:val>
            <c:numRef>
              <c:f>DCF!$H$14</c:f>
              <c:numCache>
                <c:formatCode>_("$"* #,##0_);_("$"* \(#,##0\);_("$"* "-"??_);_(@_)</c:formatCode>
                <c:ptCount val="1"/>
                <c:pt idx="0">
                  <c:v>259171.2496549433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5E-43F3-88A5-D38DF4807DF9}"/>
            </c:ext>
          </c:extLst>
        </c:ser>
        <c:ser>
          <c:idx val="4"/>
          <c:order val="4"/>
          <c:tx>
            <c:strRef>
              <c:f>DCF!$I$4</c:f>
              <c:strCache>
                <c:ptCount val="1"/>
                <c:pt idx="0">
                  <c:v>2023P</c:v>
                </c:pt>
              </c:strCache>
            </c:strRef>
          </c:tx>
          <c:spPr>
            <a:noFill/>
            <a:ln w="25400" cap="flat" cmpd="sng" algn="ctr">
              <a:solidFill>
                <a:schemeClr val="accent5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2019,2020,2021,2022,2023</c:v>
              </c:pt>
            </c:strLit>
          </c:cat>
          <c:val>
            <c:numRef>
              <c:f>DCF!$I$14</c:f>
              <c:numCache>
                <c:formatCode>_("$"* #,##0_);_("$"* \(#,##0\);_("$"* "-"??_);_(@_)</c:formatCode>
                <c:ptCount val="1"/>
                <c:pt idx="0">
                  <c:v>301529.81213769049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5E-43F3-88A5-D38DF4807D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35"/>
        <c:axId val="187386432"/>
        <c:axId val="174726400"/>
      </c:barChart>
      <c:catAx>
        <c:axId val="1873864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4726400"/>
        <c:crosses val="autoZero"/>
        <c:auto val="1"/>
        <c:lblAlgn val="ctr"/>
        <c:lblOffset val="100"/>
        <c:noMultiLvlLbl val="0"/>
      </c:catAx>
      <c:valAx>
        <c:axId val="174726400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8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1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1</xdr:row>
          <xdr:rowOff>114300</xdr:rowOff>
        </xdr:from>
        <xdr:to>
          <xdr:col>12</xdr:col>
          <xdr:colOff>47625</xdr:colOff>
          <xdr:row>4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Run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95251</xdr:colOff>
      <xdr:row>31</xdr:row>
      <xdr:rowOff>142876</xdr:rowOff>
    </xdr:from>
    <xdr:to>
      <xdr:col>11</xdr:col>
      <xdr:colOff>35719</xdr:colOff>
      <xdr:row>49</xdr:row>
      <xdr:rowOff>187595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4</xdr:row>
          <xdr:rowOff>38100</xdr:rowOff>
        </xdr:from>
        <xdr:to>
          <xdr:col>17</xdr:col>
          <xdr:colOff>1123950</xdr:colOff>
          <xdr:row>5</xdr:row>
          <xdr:rowOff>180975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6</xdr:row>
          <xdr:rowOff>38100</xdr:rowOff>
        </xdr:from>
        <xdr:to>
          <xdr:col>17</xdr:col>
          <xdr:colOff>1123950</xdr:colOff>
          <xdr:row>7</xdr:row>
          <xdr:rowOff>190500</xdr:rowOff>
        </xdr:to>
        <xdr:sp macro="" textlink="">
          <xdr:nvSpPr>
            <xdr:cNvPr id="7172" name="CheckBox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8</xdr:row>
          <xdr:rowOff>38100</xdr:rowOff>
        </xdr:from>
        <xdr:to>
          <xdr:col>17</xdr:col>
          <xdr:colOff>1123950</xdr:colOff>
          <xdr:row>9</xdr:row>
          <xdr:rowOff>190500</xdr:rowOff>
        </xdr:to>
        <xdr:sp macro="" textlink="">
          <xdr:nvSpPr>
            <xdr:cNvPr id="7173" name="CheckBox3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10</xdr:row>
          <xdr:rowOff>38100</xdr:rowOff>
        </xdr:from>
        <xdr:to>
          <xdr:col>17</xdr:col>
          <xdr:colOff>1123950</xdr:colOff>
          <xdr:row>11</xdr:row>
          <xdr:rowOff>190500</xdr:rowOff>
        </xdr:to>
        <xdr:sp macro="" textlink="">
          <xdr:nvSpPr>
            <xdr:cNvPr id="7174" name="Check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12</xdr:row>
          <xdr:rowOff>38100</xdr:rowOff>
        </xdr:from>
        <xdr:to>
          <xdr:col>17</xdr:col>
          <xdr:colOff>1123950</xdr:colOff>
          <xdr:row>13</xdr:row>
          <xdr:rowOff>190500</xdr:rowOff>
        </xdr:to>
        <xdr:sp macro="" textlink="">
          <xdr:nvSpPr>
            <xdr:cNvPr id="7175" name="CheckBox5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14</xdr:row>
          <xdr:rowOff>38100</xdr:rowOff>
        </xdr:from>
        <xdr:to>
          <xdr:col>17</xdr:col>
          <xdr:colOff>1123950</xdr:colOff>
          <xdr:row>15</xdr:row>
          <xdr:rowOff>190500</xdr:rowOff>
        </xdr:to>
        <xdr:sp macro="" textlink="">
          <xdr:nvSpPr>
            <xdr:cNvPr id="7176" name="CheckBox6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38100</xdr:rowOff>
        </xdr:from>
        <xdr:to>
          <xdr:col>17</xdr:col>
          <xdr:colOff>1123950</xdr:colOff>
          <xdr:row>17</xdr:row>
          <xdr:rowOff>190500</xdr:rowOff>
        </xdr:to>
        <xdr:sp macro="" textlink="">
          <xdr:nvSpPr>
            <xdr:cNvPr id="7177" name="CheckBox7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38100</xdr:rowOff>
        </xdr:from>
        <xdr:to>
          <xdr:col>17</xdr:col>
          <xdr:colOff>1123950</xdr:colOff>
          <xdr:row>19</xdr:row>
          <xdr:rowOff>190500</xdr:rowOff>
        </xdr:to>
        <xdr:sp macro="" textlink="">
          <xdr:nvSpPr>
            <xdr:cNvPr id="7178" name="CheckBox8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20</xdr:row>
          <xdr:rowOff>38100</xdr:rowOff>
        </xdr:from>
        <xdr:to>
          <xdr:col>17</xdr:col>
          <xdr:colOff>1123950</xdr:colOff>
          <xdr:row>21</xdr:row>
          <xdr:rowOff>190500</xdr:rowOff>
        </xdr:to>
        <xdr:sp macro="" textlink="">
          <xdr:nvSpPr>
            <xdr:cNvPr id="7179" name="CheckBox9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22</xdr:row>
          <xdr:rowOff>38100</xdr:rowOff>
        </xdr:from>
        <xdr:to>
          <xdr:col>17</xdr:col>
          <xdr:colOff>1123950</xdr:colOff>
          <xdr:row>23</xdr:row>
          <xdr:rowOff>190500</xdr:rowOff>
        </xdr:to>
        <xdr:sp macro="" textlink="">
          <xdr:nvSpPr>
            <xdr:cNvPr id="7180" name="CheckBox10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24</xdr:row>
          <xdr:rowOff>38100</xdr:rowOff>
        </xdr:from>
        <xdr:to>
          <xdr:col>17</xdr:col>
          <xdr:colOff>1123950</xdr:colOff>
          <xdr:row>25</xdr:row>
          <xdr:rowOff>190500</xdr:rowOff>
        </xdr:to>
        <xdr:sp macro="" textlink="">
          <xdr:nvSpPr>
            <xdr:cNvPr id="7181" name="CheckBox11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26</xdr:row>
          <xdr:rowOff>38100</xdr:rowOff>
        </xdr:from>
        <xdr:to>
          <xdr:col>17</xdr:col>
          <xdr:colOff>1123950</xdr:colOff>
          <xdr:row>27</xdr:row>
          <xdr:rowOff>190500</xdr:rowOff>
        </xdr:to>
        <xdr:sp macro="" textlink="">
          <xdr:nvSpPr>
            <xdr:cNvPr id="7182" name="CheckBox12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28</xdr:row>
          <xdr:rowOff>38100</xdr:rowOff>
        </xdr:from>
        <xdr:to>
          <xdr:col>17</xdr:col>
          <xdr:colOff>1123950</xdr:colOff>
          <xdr:row>29</xdr:row>
          <xdr:rowOff>190500</xdr:rowOff>
        </xdr:to>
        <xdr:sp macro="" textlink="">
          <xdr:nvSpPr>
            <xdr:cNvPr id="7183" name="CheckBox13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30</xdr:row>
          <xdr:rowOff>38100</xdr:rowOff>
        </xdr:from>
        <xdr:to>
          <xdr:col>17</xdr:col>
          <xdr:colOff>1123950</xdr:colOff>
          <xdr:row>31</xdr:row>
          <xdr:rowOff>190500</xdr:rowOff>
        </xdr:to>
        <xdr:sp macro="" textlink="">
          <xdr:nvSpPr>
            <xdr:cNvPr id="7184" name="CheckBox14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32</xdr:row>
          <xdr:rowOff>38100</xdr:rowOff>
        </xdr:from>
        <xdr:to>
          <xdr:col>17</xdr:col>
          <xdr:colOff>1123950</xdr:colOff>
          <xdr:row>33</xdr:row>
          <xdr:rowOff>190500</xdr:rowOff>
        </xdr:to>
        <xdr:sp macro="" textlink="">
          <xdr:nvSpPr>
            <xdr:cNvPr id="7185" name="CheckBox15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34</xdr:row>
          <xdr:rowOff>47625</xdr:rowOff>
        </xdr:from>
        <xdr:to>
          <xdr:col>18</xdr:col>
          <xdr:colOff>0</xdr:colOff>
          <xdr:row>35</xdr:row>
          <xdr:rowOff>161925</xdr:rowOff>
        </xdr:to>
        <xdr:sp macro="" textlink="">
          <xdr:nvSpPr>
            <xdr:cNvPr id="7187" name="CheckBox" descr="Hi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36</xdr:row>
          <xdr:rowOff>47625</xdr:rowOff>
        </xdr:from>
        <xdr:to>
          <xdr:col>18</xdr:col>
          <xdr:colOff>0</xdr:colOff>
          <xdr:row>37</xdr:row>
          <xdr:rowOff>161925</xdr:rowOff>
        </xdr:to>
        <xdr:sp macro="" textlink="">
          <xdr:nvSpPr>
            <xdr:cNvPr id="7189" name="CheckBox17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0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38</xdr:row>
          <xdr:rowOff>47625</xdr:rowOff>
        </xdr:from>
        <xdr:to>
          <xdr:col>17</xdr:col>
          <xdr:colOff>1152525</xdr:colOff>
          <xdr:row>39</xdr:row>
          <xdr:rowOff>161925</xdr:rowOff>
        </xdr:to>
        <xdr:sp macro="" textlink="">
          <xdr:nvSpPr>
            <xdr:cNvPr id="7190" name="CheckBox18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0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40</xdr:row>
          <xdr:rowOff>47625</xdr:rowOff>
        </xdr:from>
        <xdr:to>
          <xdr:col>17</xdr:col>
          <xdr:colOff>1152525</xdr:colOff>
          <xdr:row>41</xdr:row>
          <xdr:rowOff>161925</xdr:rowOff>
        </xdr:to>
        <xdr:sp macro="" textlink="">
          <xdr:nvSpPr>
            <xdr:cNvPr id="7191" name="CheckBox16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42</xdr:row>
          <xdr:rowOff>47625</xdr:rowOff>
        </xdr:from>
        <xdr:to>
          <xdr:col>17</xdr:col>
          <xdr:colOff>1152525</xdr:colOff>
          <xdr:row>43</xdr:row>
          <xdr:rowOff>161925</xdr:rowOff>
        </xdr:to>
        <xdr:sp macro="" textlink="">
          <xdr:nvSpPr>
            <xdr:cNvPr id="7192" name="CheckBox19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0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44</xdr:row>
          <xdr:rowOff>47625</xdr:rowOff>
        </xdr:from>
        <xdr:to>
          <xdr:col>17</xdr:col>
          <xdr:colOff>1152525</xdr:colOff>
          <xdr:row>45</xdr:row>
          <xdr:rowOff>161925</xdr:rowOff>
        </xdr:to>
        <xdr:sp macro="" textlink="">
          <xdr:nvSpPr>
            <xdr:cNvPr id="7193" name="CheckBox20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6</xdr:row>
          <xdr:rowOff>95250</xdr:rowOff>
        </xdr:from>
        <xdr:to>
          <xdr:col>12</xdr:col>
          <xdr:colOff>180975</xdr:colOff>
          <xdr:row>9</xdr:row>
          <xdr:rowOff>190500</xdr:rowOff>
        </xdr:to>
        <xdr:sp macro="" textlink="">
          <xdr:nvSpPr>
            <xdr:cNvPr id="7195" name="CommandButton1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11</xdr:row>
      <xdr:rowOff>83343</xdr:rowOff>
    </xdr:from>
    <xdr:to>
      <xdr:col>10</xdr:col>
      <xdr:colOff>690562</xdr:colOff>
      <xdr:row>30</xdr:row>
      <xdr:rowOff>151876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46</xdr:row>
          <xdr:rowOff>19050</xdr:rowOff>
        </xdr:from>
        <xdr:to>
          <xdr:col>17</xdr:col>
          <xdr:colOff>1143000</xdr:colOff>
          <xdr:row>47</xdr:row>
          <xdr:rowOff>142875</xdr:rowOff>
        </xdr:to>
        <xdr:sp macro="" textlink="">
          <xdr:nvSpPr>
            <xdr:cNvPr id="7198" name="CheckBox21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0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571499</xdr:colOff>
      <xdr:row>0</xdr:row>
      <xdr:rowOff>83343</xdr:rowOff>
    </xdr:from>
    <xdr:to>
      <xdr:col>9</xdr:col>
      <xdr:colOff>107156</xdr:colOff>
      <xdr:row>1</xdr:row>
      <xdr:rowOff>130968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06062" y="83343"/>
          <a:ext cx="464344" cy="309563"/>
        </a:xfrm>
        <a:prstGeom prst="downArrow">
          <a:avLst/>
        </a:prstGeom>
        <a:solidFill>
          <a:srgbClr val="CC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2</xdr:row>
          <xdr:rowOff>0</xdr:rowOff>
        </xdr:from>
        <xdr:to>
          <xdr:col>25</xdr:col>
          <xdr:colOff>352425</xdr:colOff>
          <xdr:row>6</xdr:row>
          <xdr:rowOff>28575</xdr:rowOff>
        </xdr:to>
        <xdr:sp macro="" textlink="">
          <xdr:nvSpPr>
            <xdr:cNvPr id="7199" name="CommandButton2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0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666750</xdr:colOff>
          <xdr:row>8</xdr:row>
          <xdr:rowOff>133350</xdr:rowOff>
        </xdr:from>
        <xdr:to>
          <xdr:col>25</xdr:col>
          <xdr:colOff>361950</xdr:colOff>
          <xdr:row>12</xdr:row>
          <xdr:rowOff>152400</xdr:rowOff>
        </xdr:to>
        <xdr:sp macro="" textlink="">
          <xdr:nvSpPr>
            <xdr:cNvPr id="7200" name="CommandButton3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0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738186</xdr:colOff>
      <xdr:row>26</xdr:row>
      <xdr:rowOff>190500</xdr:rowOff>
    </xdr:from>
    <xdr:to>
      <xdr:col>13</xdr:col>
      <xdr:colOff>771525</xdr:colOff>
      <xdr:row>43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 (2)"/>
    </sheetNames>
    <sheetDataSet>
      <sheetData sheetId="0">
        <row r="1">
          <cell r="B1" t="str">
            <v>Income Statement</v>
          </cell>
        </row>
        <row r="2">
          <cell r="B2" t="str">
            <v>[Name]</v>
          </cell>
        </row>
        <row r="3">
          <cell r="B3" t="str">
            <v>[Time Period]</v>
          </cell>
        </row>
        <row r="16">
          <cell r="C16" t="str">
            <v>Inventory Available</v>
          </cell>
          <cell r="G1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A1:AA82"/>
  <sheetViews>
    <sheetView tabSelected="1" zoomScale="80" zoomScaleNormal="80" workbookViewId="0"/>
  </sheetViews>
  <sheetFormatPr defaultColWidth="11" defaultRowHeight="15.75" x14ac:dyDescent="0.25"/>
  <cols>
    <col min="1" max="1" width="21.75" customWidth="1"/>
    <col min="2" max="2" width="12" customWidth="1"/>
    <col min="5" max="5" width="23.375" customWidth="1"/>
    <col min="6" max="6" width="14.875" customWidth="1"/>
    <col min="8" max="8" width="24.25" bestFit="1" customWidth="1"/>
    <col min="9" max="9" width="12.125" customWidth="1"/>
    <col min="14" max="14" width="24.375" hidden="1" customWidth="1"/>
    <col min="15" max="15" width="14.125" hidden="1" customWidth="1"/>
    <col min="16" max="16" width="13.875" hidden="1" customWidth="1"/>
    <col min="17" max="17" width="51.25" bestFit="1" customWidth="1"/>
    <col min="18" max="18" width="15.375" customWidth="1"/>
    <col min="20" max="20" width="51.25" bestFit="1" customWidth="1"/>
    <col min="21" max="21" width="9.375" hidden="1" customWidth="1"/>
    <col min="22" max="22" width="15.5" bestFit="1" customWidth="1"/>
  </cols>
  <sheetData>
    <row r="1" spans="1:27" ht="21" customHeight="1" x14ac:dyDescent="0.35">
      <c r="A1" s="240" t="s">
        <v>58</v>
      </c>
      <c r="B1" s="11"/>
      <c r="C1" s="11"/>
      <c r="D1" s="233"/>
      <c r="E1" s="220"/>
      <c r="F1" s="221"/>
      <c r="G1" s="222"/>
      <c r="H1" s="150" t="s">
        <v>92</v>
      </c>
      <c r="I1" s="151"/>
      <c r="J1" s="205"/>
      <c r="K1" s="152"/>
      <c r="L1" s="152"/>
      <c r="M1" s="152"/>
      <c r="N1" s="152"/>
      <c r="O1" s="152"/>
      <c r="P1" s="152"/>
      <c r="Q1" s="150" t="s">
        <v>143</v>
      </c>
      <c r="R1" s="152"/>
      <c r="S1" s="152"/>
      <c r="T1" s="153" t="s">
        <v>108</v>
      </c>
      <c r="U1" s="154" t="s">
        <v>105</v>
      </c>
      <c r="V1" s="155" t="s">
        <v>109</v>
      </c>
      <c r="W1" s="156"/>
      <c r="X1" s="156"/>
      <c r="Y1" s="156"/>
      <c r="Z1" s="156"/>
      <c r="AA1" s="156"/>
    </row>
    <row r="2" spans="1:27" ht="16.5" thickBot="1" x14ac:dyDescent="0.3">
      <c r="A2" s="3" t="s">
        <v>100</v>
      </c>
      <c r="B2" s="3">
        <v>2018</v>
      </c>
      <c r="C2" s="2"/>
      <c r="D2" s="2"/>
      <c r="E2" s="2"/>
      <c r="F2" s="2"/>
      <c r="G2" s="2"/>
      <c r="H2" s="156"/>
      <c r="I2" s="156"/>
      <c r="J2" s="156">
        <v>1</v>
      </c>
      <c r="K2" s="156"/>
      <c r="L2" s="156"/>
      <c r="M2" s="156"/>
      <c r="N2" s="156" t="s">
        <v>93</v>
      </c>
      <c r="O2" s="156"/>
      <c r="P2" s="156"/>
      <c r="Q2" s="156"/>
      <c r="R2" s="156"/>
      <c r="S2" s="156"/>
      <c r="T2" s="157" t="s">
        <v>21</v>
      </c>
      <c r="U2" s="157">
        <v>0</v>
      </c>
      <c r="V2" s="158"/>
      <c r="W2" s="156"/>
      <c r="X2" s="156"/>
      <c r="Y2" s="156"/>
      <c r="Z2" s="156"/>
      <c r="AA2" s="156"/>
    </row>
    <row r="3" spans="1:27" ht="18.75" x14ac:dyDescent="0.3">
      <c r="A3" s="206" t="s">
        <v>78</v>
      </c>
      <c r="B3" s="18"/>
      <c r="C3" s="19"/>
      <c r="D3" s="2"/>
      <c r="E3" s="223" t="s">
        <v>122</v>
      </c>
      <c r="F3" s="19"/>
      <c r="G3" s="2"/>
      <c r="H3" s="159" t="s">
        <v>81</v>
      </c>
      <c r="I3" s="203" t="s">
        <v>85</v>
      </c>
      <c r="J3" s="156"/>
      <c r="K3" s="156"/>
      <c r="L3" s="156"/>
      <c r="M3" s="156"/>
      <c r="N3" s="160"/>
      <c r="O3" s="156"/>
      <c r="P3" s="156"/>
      <c r="Q3" s="251" t="s">
        <v>107</v>
      </c>
      <c r="R3" s="252"/>
      <c r="S3" s="156"/>
      <c r="T3" s="157" t="s">
        <v>22</v>
      </c>
      <c r="U3" s="157">
        <v>0</v>
      </c>
      <c r="V3" s="158"/>
      <c r="W3" s="156"/>
      <c r="X3" s="156"/>
      <c r="Y3" s="156"/>
      <c r="Z3" s="156"/>
      <c r="AA3" s="156"/>
    </row>
    <row r="4" spans="1:27" ht="16.5" thickBot="1" x14ac:dyDescent="0.3">
      <c r="A4" s="212" t="s">
        <v>112</v>
      </c>
      <c r="B4" s="7"/>
      <c r="C4" s="219"/>
      <c r="D4" s="2"/>
      <c r="E4" s="213" t="s">
        <v>0</v>
      </c>
      <c r="F4" s="224">
        <f>EV_Avg</f>
        <v>3141723.4253634736</v>
      </c>
      <c r="G4" s="2"/>
      <c r="H4" s="161" t="s">
        <v>82</v>
      </c>
      <c r="I4" s="204">
        <v>15</v>
      </c>
      <c r="J4" s="156"/>
      <c r="K4" s="156"/>
      <c r="L4" s="156"/>
      <c r="M4" s="156"/>
      <c r="N4" s="162" t="s">
        <v>29</v>
      </c>
      <c r="O4" s="156" t="s">
        <v>94</v>
      </c>
      <c r="P4" s="163" t="s">
        <v>95</v>
      </c>
      <c r="Q4" s="253"/>
      <c r="R4" s="254"/>
      <c r="S4" s="156"/>
      <c r="T4" s="157" t="s">
        <v>23</v>
      </c>
      <c r="U4" s="157">
        <v>0</v>
      </c>
      <c r="V4" s="158"/>
      <c r="W4" s="156"/>
      <c r="X4" s="156"/>
      <c r="Y4" s="156"/>
      <c r="Z4" s="156"/>
      <c r="AA4" s="156"/>
    </row>
    <row r="5" spans="1:27" ht="16.5" thickBot="1" x14ac:dyDescent="0.3">
      <c r="A5" s="117" t="s">
        <v>21</v>
      </c>
      <c r="B5" s="207">
        <v>5</v>
      </c>
      <c r="C5" s="219"/>
      <c r="D5" s="2"/>
      <c r="E5" s="225" t="s">
        <v>171</v>
      </c>
      <c r="F5" s="245">
        <f>DCF!M26</f>
        <v>0.21833115533205749</v>
      </c>
      <c r="G5" s="2"/>
      <c r="H5" s="164" t="s">
        <v>84</v>
      </c>
      <c r="I5" s="165">
        <f>AVERAGE('Working Sensitivity'!A2:A16)</f>
        <v>2010.053316752116</v>
      </c>
      <c r="J5" s="156"/>
      <c r="K5" s="156"/>
      <c r="L5" s="156"/>
      <c r="M5" s="156"/>
      <c r="N5" s="156" t="s">
        <v>21</v>
      </c>
      <c r="O5" s="156"/>
      <c r="P5" s="156"/>
      <c r="Q5" s="249" t="s">
        <v>103</v>
      </c>
      <c r="R5" s="166"/>
      <c r="S5" s="156"/>
      <c r="T5" s="167" t="s">
        <v>62</v>
      </c>
      <c r="U5" s="157">
        <v>0</v>
      </c>
      <c r="V5" s="168"/>
      <c r="W5" s="156"/>
      <c r="X5" s="156"/>
      <c r="Y5" s="156"/>
      <c r="Z5" s="156"/>
      <c r="AA5" s="156"/>
    </row>
    <row r="6" spans="1:27" ht="16.5" thickBot="1" x14ac:dyDescent="0.3">
      <c r="A6" s="117" t="s">
        <v>22</v>
      </c>
      <c r="B6" s="207">
        <v>3</v>
      </c>
      <c r="C6" s="219"/>
      <c r="D6" s="2"/>
      <c r="E6" s="4"/>
      <c r="F6" s="2"/>
      <c r="G6" s="2"/>
      <c r="H6" s="169"/>
      <c r="I6" s="156"/>
      <c r="J6" s="156"/>
      <c r="K6" s="156"/>
      <c r="L6" s="156"/>
      <c r="M6" s="156"/>
      <c r="N6" s="156" t="s">
        <v>22</v>
      </c>
      <c r="O6" s="156" t="s">
        <v>55</v>
      </c>
      <c r="P6" s="156"/>
      <c r="Q6" s="250"/>
      <c r="R6" s="170"/>
      <c r="S6" s="156"/>
      <c r="T6" s="171" t="s">
        <v>63</v>
      </c>
      <c r="U6" s="157">
        <v>0</v>
      </c>
      <c r="V6" s="158"/>
      <c r="W6" s="156"/>
      <c r="X6" s="156"/>
      <c r="Y6" s="156"/>
      <c r="Z6" s="156"/>
      <c r="AA6" s="156"/>
    </row>
    <row r="7" spans="1:27" x14ac:dyDescent="0.25">
      <c r="A7" s="117" t="s">
        <v>23</v>
      </c>
      <c r="B7" s="207">
        <v>2</v>
      </c>
      <c r="C7" s="219"/>
      <c r="D7" s="2"/>
      <c r="E7" s="4"/>
      <c r="F7" s="2"/>
      <c r="G7" s="2"/>
      <c r="H7" s="156"/>
      <c r="I7" s="156"/>
      <c r="J7" s="156"/>
      <c r="K7" s="156"/>
      <c r="L7" s="156"/>
      <c r="M7" s="156"/>
      <c r="N7" s="156" t="s">
        <v>23</v>
      </c>
      <c r="O7" s="156"/>
      <c r="P7" s="156"/>
      <c r="Q7" s="249" t="s">
        <v>22</v>
      </c>
      <c r="R7" s="166"/>
      <c r="S7" s="156"/>
      <c r="T7" s="172" t="s">
        <v>110</v>
      </c>
      <c r="U7" s="157">
        <v>0</v>
      </c>
      <c r="V7" s="173"/>
      <c r="W7" s="156"/>
      <c r="X7" s="156"/>
      <c r="Y7" s="156"/>
      <c r="Z7" s="156"/>
      <c r="AA7" s="156"/>
    </row>
    <row r="8" spans="1:27" ht="16.5" thickBot="1" x14ac:dyDescent="0.3">
      <c r="A8" s="213" t="s">
        <v>61</v>
      </c>
      <c r="B8" s="228">
        <f>SUM(B5:B7)</f>
        <v>10</v>
      </c>
      <c r="C8" s="219"/>
      <c r="D8" s="2"/>
      <c r="E8" s="2"/>
      <c r="F8" s="2"/>
      <c r="G8" s="2"/>
      <c r="H8" s="156"/>
      <c r="I8" s="156"/>
      <c r="J8" s="156"/>
      <c r="K8" s="156"/>
      <c r="L8" s="156"/>
      <c r="M8" s="156"/>
      <c r="N8" s="174" t="s">
        <v>61</v>
      </c>
      <c r="O8" s="156"/>
      <c r="P8" s="156"/>
      <c r="Q8" s="250"/>
      <c r="R8" s="170"/>
      <c r="S8" s="156"/>
      <c r="T8" s="157" t="s">
        <v>90</v>
      </c>
      <c r="U8" s="157">
        <v>0</v>
      </c>
      <c r="V8" s="158"/>
      <c r="W8" s="156"/>
      <c r="X8" s="156"/>
      <c r="Y8" s="156"/>
      <c r="Z8" s="156"/>
      <c r="AA8" s="156"/>
    </row>
    <row r="9" spans="1:27" x14ac:dyDescent="0.25">
      <c r="A9" s="213" t="s">
        <v>25</v>
      </c>
      <c r="B9" s="229">
        <f>Daily_Potential_Customers*Market_Share</f>
        <v>100</v>
      </c>
      <c r="C9" s="226" t="s">
        <v>28</v>
      </c>
      <c r="D9" s="2"/>
      <c r="E9" s="2"/>
      <c r="F9" s="2"/>
      <c r="G9" s="2"/>
      <c r="H9" s="156"/>
      <c r="I9" s="156"/>
      <c r="J9" s="156"/>
      <c r="K9" s="156"/>
      <c r="L9" s="156"/>
      <c r="M9" s="156"/>
      <c r="N9" s="174" t="s">
        <v>25</v>
      </c>
      <c r="O9" s="156"/>
      <c r="P9" s="156"/>
      <c r="Q9" s="249" t="s">
        <v>23</v>
      </c>
      <c r="R9" s="166"/>
      <c r="S9" s="156"/>
      <c r="T9" s="157" t="s">
        <v>46</v>
      </c>
      <c r="U9" s="157">
        <v>0</v>
      </c>
      <c r="V9" s="158"/>
      <c r="W9" s="156"/>
      <c r="X9" s="156"/>
      <c r="Y9" s="156"/>
      <c r="Z9" s="156"/>
      <c r="AA9" s="156"/>
    </row>
    <row r="10" spans="1:27" ht="16.5" thickBot="1" x14ac:dyDescent="0.3">
      <c r="A10" s="214" t="s">
        <v>30</v>
      </c>
      <c r="B10" s="229">
        <f>Daily_Order_Volume*Days_per_Year</f>
        <v>36000</v>
      </c>
      <c r="C10" s="226"/>
      <c r="D10" s="2"/>
      <c r="E10" s="2"/>
      <c r="F10" s="2"/>
      <c r="G10" s="2"/>
      <c r="H10" s="156"/>
      <c r="I10" s="156"/>
      <c r="J10" s="156"/>
      <c r="K10" s="156"/>
      <c r="L10" s="156"/>
      <c r="M10" s="156"/>
      <c r="N10" s="156"/>
      <c r="O10" s="156"/>
      <c r="P10" s="156"/>
      <c r="Q10" s="250"/>
      <c r="R10" s="170"/>
      <c r="S10" s="156"/>
      <c r="T10" s="157" t="s">
        <v>47</v>
      </c>
      <c r="U10" s="157">
        <v>0</v>
      </c>
      <c r="V10" s="158"/>
      <c r="W10" s="156"/>
      <c r="X10" s="156"/>
      <c r="Y10" s="156"/>
      <c r="Z10" s="156"/>
      <c r="AA10" s="156"/>
    </row>
    <row r="11" spans="1:27" x14ac:dyDescent="0.25">
      <c r="A11" s="215" t="s">
        <v>62</v>
      </c>
      <c r="B11" s="208">
        <v>2000</v>
      </c>
      <c r="C11" s="219"/>
      <c r="D11" s="2"/>
      <c r="E11" s="2"/>
      <c r="F11" s="2"/>
      <c r="G11" s="2"/>
      <c r="H11" s="156"/>
      <c r="I11" s="156"/>
      <c r="J11" s="156"/>
      <c r="K11" s="156"/>
      <c r="L11" s="156"/>
      <c r="M11" s="156"/>
      <c r="N11" s="175" t="s">
        <v>62</v>
      </c>
      <c r="O11" s="156"/>
      <c r="P11" s="156"/>
      <c r="Q11" s="249" t="s">
        <v>62</v>
      </c>
      <c r="R11" s="166"/>
      <c r="S11" s="156"/>
      <c r="T11" s="172" t="s">
        <v>111</v>
      </c>
      <c r="U11" s="157">
        <v>0</v>
      </c>
      <c r="V11" s="173"/>
      <c r="W11" s="156"/>
      <c r="X11" s="156"/>
      <c r="Y11" s="156"/>
      <c r="Z11" s="156"/>
      <c r="AA11" s="156"/>
    </row>
    <row r="12" spans="1:27" ht="16.5" thickBot="1" x14ac:dyDescent="0.3">
      <c r="A12" s="215" t="s">
        <v>63</v>
      </c>
      <c r="B12" s="209">
        <v>0.05</v>
      </c>
      <c r="C12" s="219"/>
      <c r="D12" s="2"/>
      <c r="E12" s="2"/>
      <c r="F12" s="2"/>
      <c r="G12" s="2"/>
      <c r="H12" s="156"/>
      <c r="I12" s="156"/>
      <c r="J12" s="156"/>
      <c r="K12" s="156"/>
      <c r="L12" s="156"/>
      <c r="M12" s="156"/>
      <c r="N12" s="175" t="s">
        <v>63</v>
      </c>
      <c r="O12" s="156"/>
      <c r="P12" s="156"/>
      <c r="Q12" s="250"/>
      <c r="R12" s="170"/>
      <c r="S12" s="156"/>
      <c r="T12" s="157" t="s">
        <v>45</v>
      </c>
      <c r="U12" s="157">
        <v>0</v>
      </c>
      <c r="V12" s="158"/>
      <c r="W12" s="156"/>
      <c r="X12" s="156"/>
      <c r="Y12" s="156"/>
      <c r="Z12" s="156"/>
      <c r="AA12" s="156"/>
    </row>
    <row r="13" spans="1:27" x14ac:dyDescent="0.25">
      <c r="A13" s="117" t="s">
        <v>51</v>
      </c>
      <c r="B13" s="230">
        <f>Percent_Ingredients*Avg_Order_Sale*Yearly_Order_Volume</f>
        <v>108000</v>
      </c>
      <c r="C13" s="226" t="str">
        <f>"assuming "&amp;Percent_Ingredients*100&amp;"% of sales"</f>
        <v>assuming 30% of sales</v>
      </c>
      <c r="D13" s="2"/>
      <c r="E13" s="2"/>
      <c r="F13" s="2"/>
      <c r="G13" s="2"/>
      <c r="H13" s="156"/>
      <c r="I13" s="156"/>
      <c r="J13" s="156"/>
      <c r="K13" s="156"/>
      <c r="L13" s="156"/>
      <c r="M13" s="156"/>
      <c r="N13" s="156" t="s">
        <v>51</v>
      </c>
      <c r="O13" s="156"/>
      <c r="P13" s="156"/>
      <c r="Q13" s="249" t="s">
        <v>104</v>
      </c>
      <c r="R13" s="166"/>
      <c r="S13" s="156"/>
      <c r="T13" s="157" t="s">
        <v>67</v>
      </c>
      <c r="U13" s="157">
        <v>0</v>
      </c>
      <c r="V13" s="158"/>
      <c r="W13" s="156"/>
      <c r="X13" s="156"/>
      <c r="Y13" s="156"/>
      <c r="Z13" s="156"/>
      <c r="AA13" s="156"/>
    </row>
    <row r="14" spans="1:27" ht="16.5" thickBot="1" x14ac:dyDescent="0.3">
      <c r="A14" s="214" t="s">
        <v>110</v>
      </c>
      <c r="B14" s="210">
        <v>0.3</v>
      </c>
      <c r="C14" s="219"/>
      <c r="D14" s="2"/>
      <c r="E14" s="2"/>
      <c r="F14" s="2"/>
      <c r="G14" s="2"/>
      <c r="H14" s="156"/>
      <c r="I14" s="156"/>
      <c r="J14" s="156"/>
      <c r="K14" s="156"/>
      <c r="L14" s="156"/>
      <c r="M14" s="156"/>
      <c r="N14" s="176" t="s">
        <v>64</v>
      </c>
      <c r="O14" s="156"/>
      <c r="P14" s="156"/>
      <c r="Q14" s="250"/>
      <c r="R14" s="170"/>
      <c r="S14" s="156"/>
      <c r="T14" s="177" t="s">
        <v>8</v>
      </c>
      <c r="U14" s="157">
        <v>0</v>
      </c>
      <c r="V14" s="173"/>
      <c r="W14" s="156"/>
      <c r="X14" s="156"/>
      <c r="Y14" s="156"/>
      <c r="Z14" s="156"/>
      <c r="AA14" s="156"/>
    </row>
    <row r="15" spans="1:27" x14ac:dyDescent="0.25">
      <c r="A15" s="117" t="s">
        <v>90</v>
      </c>
      <c r="B15" s="211">
        <v>10</v>
      </c>
      <c r="C15" s="219"/>
      <c r="D15" s="2"/>
      <c r="E15" s="2"/>
      <c r="F15" s="2"/>
      <c r="G15" s="2"/>
      <c r="H15" s="156"/>
      <c r="I15" s="156"/>
      <c r="J15" s="156"/>
      <c r="K15" s="156"/>
      <c r="L15" s="156"/>
      <c r="M15" s="156"/>
      <c r="N15" s="156" t="s">
        <v>90</v>
      </c>
      <c r="O15" s="156"/>
      <c r="P15" s="156"/>
      <c r="Q15" s="249" t="s">
        <v>64</v>
      </c>
      <c r="R15" s="166"/>
      <c r="S15" s="156"/>
      <c r="T15" s="177" t="s">
        <v>48</v>
      </c>
      <c r="U15" s="157">
        <v>0</v>
      </c>
      <c r="V15" s="158"/>
      <c r="W15" s="156"/>
      <c r="X15" s="156"/>
      <c r="Y15" s="156"/>
      <c r="Z15" s="156"/>
      <c r="AA15" s="156"/>
    </row>
    <row r="16" spans="1:27" ht="16.5" thickBot="1" x14ac:dyDescent="0.3">
      <c r="A16" s="117" t="s">
        <v>46</v>
      </c>
      <c r="B16" s="211">
        <v>5000</v>
      </c>
      <c r="C16" s="219"/>
      <c r="D16" s="2"/>
      <c r="E16" s="2"/>
      <c r="F16" s="2"/>
      <c r="G16" s="2"/>
      <c r="H16" s="156"/>
      <c r="I16" s="156"/>
      <c r="J16" s="156"/>
      <c r="K16" s="156"/>
      <c r="L16" s="156"/>
      <c r="M16" s="156"/>
      <c r="N16" s="156" t="s">
        <v>46</v>
      </c>
      <c r="O16" s="156" t="s">
        <v>55</v>
      </c>
      <c r="P16" s="156"/>
      <c r="Q16" s="250"/>
      <c r="R16" s="170"/>
      <c r="S16" s="156"/>
      <c r="T16" s="177" t="s">
        <v>54</v>
      </c>
      <c r="U16" s="157">
        <v>0</v>
      </c>
      <c r="V16" s="158"/>
      <c r="W16" s="156"/>
      <c r="X16" s="156"/>
      <c r="Y16" s="156"/>
      <c r="Z16" s="156"/>
      <c r="AA16" s="156"/>
    </row>
    <row r="17" spans="1:27" x14ac:dyDescent="0.25">
      <c r="A17" s="117" t="s">
        <v>47</v>
      </c>
      <c r="B17" s="211">
        <v>2000</v>
      </c>
      <c r="C17" s="219"/>
      <c r="D17" s="2"/>
      <c r="E17" s="2"/>
      <c r="F17" s="2"/>
      <c r="G17" s="2"/>
      <c r="H17" s="156"/>
      <c r="I17" s="156"/>
      <c r="J17" s="156"/>
      <c r="K17" s="156"/>
      <c r="L17" s="156"/>
      <c r="M17" s="156"/>
      <c r="N17" s="156" t="s">
        <v>47</v>
      </c>
      <c r="O17" s="156"/>
      <c r="P17" s="156"/>
      <c r="Q17" s="249" t="s">
        <v>90</v>
      </c>
      <c r="R17" s="166"/>
      <c r="S17" s="156"/>
      <c r="T17" s="177" t="s">
        <v>49</v>
      </c>
      <c r="U17" s="157">
        <v>0</v>
      </c>
      <c r="V17" s="158"/>
      <c r="W17" s="156"/>
      <c r="X17" s="156"/>
      <c r="Y17" s="156"/>
      <c r="Z17" s="156"/>
      <c r="AA17" s="156"/>
    </row>
    <row r="18" spans="1:27" ht="16.5" thickBot="1" x14ac:dyDescent="0.3">
      <c r="A18" s="117" t="s">
        <v>26</v>
      </c>
      <c r="B18" s="230">
        <f>Percent_Salary*Avg_Order_Sale*Yearly_Order_Volume</f>
        <v>118800.00000000001</v>
      </c>
      <c r="C18" s="226" t="str">
        <f>"assuming "&amp;Percent_Salary*100&amp;"% of sales"</f>
        <v>assuming 33% of sales</v>
      </c>
      <c r="D18" s="2"/>
      <c r="E18" s="2"/>
      <c r="F18" s="2"/>
      <c r="G18" s="2"/>
      <c r="H18" s="156"/>
      <c r="I18" s="156"/>
      <c r="J18" s="156"/>
      <c r="K18" s="156"/>
      <c r="L18" s="156"/>
      <c r="M18" s="156"/>
      <c r="N18" s="156" t="s">
        <v>26</v>
      </c>
      <c r="O18" s="156"/>
      <c r="P18" s="156"/>
      <c r="Q18" s="250"/>
      <c r="R18" s="170"/>
      <c r="S18" s="156"/>
      <c r="T18" s="177" t="s">
        <v>56</v>
      </c>
      <c r="U18" s="157">
        <v>0</v>
      </c>
      <c r="V18" s="158"/>
      <c r="W18" s="156"/>
      <c r="X18" s="156"/>
      <c r="Y18" s="156"/>
      <c r="Z18" s="156"/>
      <c r="AA18" s="156"/>
    </row>
    <row r="19" spans="1:27" x14ac:dyDescent="0.25">
      <c r="A19" s="214" t="s">
        <v>111</v>
      </c>
      <c r="B19" s="210">
        <v>0.33</v>
      </c>
      <c r="C19" s="219"/>
      <c r="D19" s="2"/>
      <c r="E19" s="2"/>
      <c r="F19" s="2"/>
      <c r="G19" s="2"/>
      <c r="H19" s="156"/>
      <c r="I19" s="156"/>
      <c r="J19" s="156"/>
      <c r="K19" s="156"/>
      <c r="L19" s="156"/>
      <c r="M19" s="156"/>
      <c r="N19" s="176" t="s">
        <v>64</v>
      </c>
      <c r="O19" s="156"/>
      <c r="P19" s="156"/>
      <c r="Q19" s="249" t="s">
        <v>46</v>
      </c>
      <c r="R19" s="166"/>
      <c r="S19" s="156"/>
      <c r="T19" s="177" t="s">
        <v>65</v>
      </c>
      <c r="U19" s="157">
        <v>0</v>
      </c>
      <c r="V19" s="158"/>
      <c r="W19" s="156"/>
      <c r="X19" s="156"/>
      <c r="Y19" s="156"/>
      <c r="Z19" s="156"/>
      <c r="AA19" s="156"/>
    </row>
    <row r="20" spans="1:27" ht="16.5" thickBot="1" x14ac:dyDescent="0.3">
      <c r="A20" s="117" t="s">
        <v>45</v>
      </c>
      <c r="B20" s="211">
        <v>100000</v>
      </c>
      <c r="C20" s="219"/>
      <c r="D20" s="2"/>
      <c r="E20" s="2"/>
      <c r="F20" s="2"/>
      <c r="G20" s="2"/>
      <c r="H20" s="156"/>
      <c r="I20" s="156"/>
      <c r="J20" s="156"/>
      <c r="K20" s="156"/>
      <c r="L20" s="156"/>
      <c r="M20" s="156"/>
      <c r="N20" s="156" t="s">
        <v>45</v>
      </c>
      <c r="O20" s="156"/>
      <c r="P20" s="156"/>
      <c r="Q20" s="250"/>
      <c r="R20" s="170"/>
      <c r="S20" s="156"/>
      <c r="T20" s="177" t="s">
        <v>66</v>
      </c>
      <c r="U20" s="157">
        <v>0</v>
      </c>
      <c r="V20" s="158"/>
      <c r="W20" s="156"/>
      <c r="X20" s="156"/>
      <c r="Y20" s="156"/>
      <c r="Z20" s="156"/>
      <c r="AA20" s="156"/>
    </row>
    <row r="21" spans="1:27" x14ac:dyDescent="0.25">
      <c r="A21" s="117" t="s">
        <v>67</v>
      </c>
      <c r="B21" s="211">
        <v>50000</v>
      </c>
      <c r="C21" s="219"/>
      <c r="D21" s="2"/>
      <c r="E21" s="2"/>
      <c r="F21" s="2"/>
      <c r="G21" s="2"/>
      <c r="H21" s="156"/>
      <c r="I21" s="156"/>
      <c r="J21" s="156"/>
      <c r="K21" s="156"/>
      <c r="L21" s="156"/>
      <c r="M21" s="156"/>
      <c r="N21" s="156" t="s">
        <v>67</v>
      </c>
      <c r="O21" s="156" t="s">
        <v>55</v>
      </c>
      <c r="P21" s="156"/>
      <c r="Q21" s="249" t="s">
        <v>47</v>
      </c>
      <c r="R21" s="166"/>
      <c r="S21" s="156"/>
      <c r="T21" s="177" t="s">
        <v>15</v>
      </c>
      <c r="U21" s="157">
        <v>0</v>
      </c>
      <c r="V21" s="158"/>
      <c r="W21" s="156"/>
      <c r="X21" s="156"/>
      <c r="Y21" s="156"/>
      <c r="Z21" s="156"/>
      <c r="AA21" s="156"/>
    </row>
    <row r="22" spans="1:27" ht="16.5" thickBot="1" x14ac:dyDescent="0.3">
      <c r="A22" s="117" t="s">
        <v>120</v>
      </c>
      <c r="B22" s="211">
        <v>0</v>
      </c>
      <c r="C22" s="219"/>
      <c r="D22" s="2"/>
      <c r="E22" s="2"/>
      <c r="F22" s="2"/>
      <c r="G22" s="2"/>
      <c r="H22" s="156"/>
      <c r="I22" s="156"/>
      <c r="J22" s="156"/>
      <c r="K22" s="156"/>
      <c r="L22" s="156"/>
      <c r="M22" s="156"/>
      <c r="N22" s="178" t="s">
        <v>20</v>
      </c>
      <c r="O22" s="156"/>
      <c r="P22" s="156"/>
      <c r="Q22" s="250"/>
      <c r="R22" s="170"/>
      <c r="S22" s="156"/>
      <c r="T22" s="177" t="s">
        <v>13</v>
      </c>
      <c r="U22" s="157">
        <v>0</v>
      </c>
      <c r="V22" s="158"/>
      <c r="W22" s="156"/>
      <c r="X22" s="156"/>
      <c r="Y22" s="156"/>
      <c r="Z22" s="156"/>
      <c r="AA22" s="156"/>
    </row>
    <row r="23" spans="1:27" x14ac:dyDescent="0.25">
      <c r="A23" s="216" t="s">
        <v>96</v>
      </c>
      <c r="B23" s="231">
        <f>Truck_Purchase_Cost+Kitchen_Equipment+Other_Capex</f>
        <v>150000</v>
      </c>
      <c r="C23" s="226" t="str">
        <f>"previous "&amp;Financial_Year</f>
        <v>previous 2018</v>
      </c>
      <c r="D23" s="2"/>
      <c r="E23" s="2"/>
      <c r="F23" s="2"/>
      <c r="G23" s="2"/>
      <c r="H23" s="156"/>
      <c r="I23" s="156"/>
      <c r="J23" s="156"/>
      <c r="K23" s="156"/>
      <c r="L23" s="156"/>
      <c r="M23" s="156"/>
      <c r="N23" s="178" t="s">
        <v>8</v>
      </c>
      <c r="O23" s="156"/>
      <c r="P23" s="156"/>
      <c r="Q23" s="249" t="s">
        <v>64</v>
      </c>
      <c r="R23" s="166"/>
      <c r="S23" s="156"/>
      <c r="T23" s="177" t="s">
        <v>50</v>
      </c>
      <c r="U23" s="157">
        <v>0</v>
      </c>
      <c r="V23" s="158"/>
      <c r="W23" s="156"/>
      <c r="X23" s="156"/>
      <c r="Y23" s="156"/>
      <c r="Z23" s="156"/>
      <c r="AA23" s="156"/>
    </row>
    <row r="24" spans="1:27" ht="16.5" thickBot="1" x14ac:dyDescent="0.3">
      <c r="A24" s="214" t="s">
        <v>115</v>
      </c>
      <c r="B24" s="211">
        <v>200000</v>
      </c>
      <c r="C24" s="219"/>
      <c r="D24" s="2"/>
      <c r="E24" s="2"/>
      <c r="F24" s="2"/>
      <c r="G24" s="2"/>
      <c r="H24" s="156"/>
      <c r="I24" s="156"/>
      <c r="J24" s="156"/>
      <c r="K24" s="156"/>
      <c r="L24" s="156"/>
      <c r="M24" s="156"/>
      <c r="N24" s="178"/>
      <c r="O24" s="156"/>
      <c r="P24" s="156"/>
      <c r="Q24" s="250"/>
      <c r="R24" s="170"/>
      <c r="S24" s="156"/>
      <c r="T24" s="156"/>
      <c r="U24" s="156"/>
      <c r="V24" s="179"/>
      <c r="W24" s="156"/>
      <c r="X24" s="156"/>
      <c r="Y24" s="156"/>
      <c r="Z24" s="156"/>
      <c r="AA24" s="156"/>
    </row>
    <row r="25" spans="1:27" x14ac:dyDescent="0.25">
      <c r="A25" s="214" t="s">
        <v>116</v>
      </c>
      <c r="B25" s="211">
        <v>200000</v>
      </c>
      <c r="C25" s="219"/>
      <c r="D25" s="2"/>
      <c r="E25" s="2"/>
      <c r="F25" s="2"/>
      <c r="G25" s="2"/>
      <c r="H25" s="156"/>
      <c r="I25" s="156"/>
      <c r="J25" s="156"/>
      <c r="K25" s="156"/>
      <c r="L25" s="156"/>
      <c r="M25" s="156"/>
      <c r="N25" s="178" t="s">
        <v>48</v>
      </c>
      <c r="O25" s="156"/>
      <c r="P25" s="156"/>
      <c r="Q25" s="249" t="s">
        <v>45</v>
      </c>
      <c r="R25" s="166"/>
      <c r="S25" s="156"/>
      <c r="T25" s="156"/>
      <c r="U25" s="156"/>
      <c r="V25" s="156"/>
      <c r="W25" s="156"/>
      <c r="X25" s="156"/>
      <c r="Y25" s="156"/>
      <c r="Z25" s="156"/>
      <c r="AA25" s="156"/>
    </row>
    <row r="26" spans="1:27" ht="16.5" thickBot="1" x14ac:dyDescent="0.3">
      <c r="A26" s="214" t="s">
        <v>117</v>
      </c>
      <c r="B26" s="211">
        <v>175000</v>
      </c>
      <c r="C26" s="219"/>
      <c r="D26" s="2"/>
      <c r="E26" s="2"/>
      <c r="F26" s="2"/>
      <c r="G26" s="2"/>
      <c r="H26" s="156"/>
      <c r="I26" s="156"/>
      <c r="J26" s="156"/>
      <c r="K26" s="156"/>
      <c r="L26" s="156"/>
      <c r="M26" s="156"/>
      <c r="N26" s="178" t="s">
        <v>54</v>
      </c>
      <c r="O26" s="156"/>
      <c r="P26" s="156"/>
      <c r="Q26" s="250"/>
      <c r="R26" s="170"/>
      <c r="S26" s="156"/>
      <c r="T26" s="156"/>
      <c r="U26" s="156"/>
      <c r="V26" s="156"/>
      <c r="W26" s="156"/>
      <c r="X26" s="156"/>
      <c r="Y26" s="156"/>
      <c r="Z26" s="156"/>
      <c r="AA26" s="156"/>
    </row>
    <row r="27" spans="1:27" x14ac:dyDescent="0.25">
      <c r="A27" s="214" t="s">
        <v>118</v>
      </c>
      <c r="B27" s="211">
        <v>100000</v>
      </c>
      <c r="C27" s="219"/>
      <c r="D27" s="2"/>
      <c r="E27" s="2"/>
      <c r="F27" s="2"/>
      <c r="G27" s="2"/>
      <c r="H27" s="156"/>
      <c r="I27" s="156"/>
      <c r="J27" s="156"/>
      <c r="K27" s="156"/>
      <c r="L27" s="156"/>
      <c r="M27" s="156"/>
      <c r="N27" s="178" t="s">
        <v>49</v>
      </c>
      <c r="O27" s="156"/>
      <c r="P27" s="156"/>
      <c r="Q27" s="249" t="s">
        <v>67</v>
      </c>
      <c r="R27" s="166"/>
      <c r="S27" s="156"/>
      <c r="T27" s="156"/>
      <c r="U27" s="156"/>
      <c r="V27" s="156"/>
      <c r="W27" s="156"/>
      <c r="X27" s="156"/>
      <c r="Y27" s="156"/>
      <c r="Z27" s="156"/>
      <c r="AA27" s="156"/>
    </row>
    <row r="28" spans="1:27" ht="16.5" thickBot="1" x14ac:dyDescent="0.3">
      <c r="A28" s="214" t="s">
        <v>119</v>
      </c>
      <c r="B28" s="211">
        <v>75000</v>
      </c>
      <c r="C28" s="219"/>
      <c r="D28" s="2"/>
      <c r="E28" s="2"/>
      <c r="F28" s="2"/>
      <c r="G28" s="2"/>
      <c r="H28" s="156"/>
      <c r="I28" s="156"/>
      <c r="J28" s="156"/>
      <c r="K28" s="156"/>
      <c r="L28" s="156"/>
      <c r="M28" s="156"/>
      <c r="N28" s="178" t="s">
        <v>56</v>
      </c>
      <c r="O28" s="156"/>
      <c r="P28" s="156"/>
      <c r="Q28" s="250"/>
      <c r="R28" s="170"/>
      <c r="S28" s="156"/>
      <c r="T28" s="156"/>
      <c r="U28" s="156"/>
      <c r="V28" s="156"/>
      <c r="W28" s="156"/>
      <c r="X28" s="156"/>
      <c r="Y28" s="156"/>
      <c r="Z28" s="156"/>
      <c r="AA28" s="156"/>
    </row>
    <row r="29" spans="1:27" x14ac:dyDescent="0.25">
      <c r="A29" s="216" t="s">
        <v>48</v>
      </c>
      <c r="B29" s="211">
        <v>20000</v>
      </c>
      <c r="C29" s="219"/>
      <c r="D29" s="2"/>
      <c r="E29" s="2"/>
      <c r="F29" s="2"/>
      <c r="G29" s="2"/>
      <c r="H29" s="156"/>
      <c r="I29" s="156"/>
      <c r="J29" s="156"/>
      <c r="K29" s="156"/>
      <c r="L29" s="156"/>
      <c r="M29" s="156"/>
      <c r="N29" s="178" t="s">
        <v>65</v>
      </c>
      <c r="O29" s="156" t="s">
        <v>55</v>
      </c>
      <c r="P29" s="156"/>
      <c r="Q29" s="249" t="s">
        <v>8</v>
      </c>
      <c r="R29" s="166"/>
      <c r="S29" s="156"/>
      <c r="T29" s="156"/>
      <c r="U29" s="156"/>
      <c r="V29" s="156"/>
      <c r="W29" s="156"/>
      <c r="X29" s="156"/>
      <c r="Y29" s="156"/>
      <c r="Z29" s="156"/>
      <c r="AA29" s="156"/>
    </row>
    <row r="30" spans="1:27" ht="16.5" thickBot="1" x14ac:dyDescent="0.3">
      <c r="A30" s="216" t="s">
        <v>54</v>
      </c>
      <c r="B30" s="211">
        <v>30000</v>
      </c>
      <c r="C30" s="219"/>
      <c r="D30" s="2"/>
      <c r="E30" s="2"/>
      <c r="F30" s="2"/>
      <c r="G30" s="2"/>
      <c r="H30" s="156"/>
      <c r="I30" s="156"/>
      <c r="J30" s="156"/>
      <c r="K30" s="156"/>
      <c r="L30" s="156"/>
      <c r="M30" s="156"/>
      <c r="N30" s="178" t="s">
        <v>66</v>
      </c>
      <c r="O30" s="156"/>
      <c r="P30" s="156"/>
      <c r="Q30" s="250"/>
      <c r="R30" s="170"/>
      <c r="S30" s="156"/>
      <c r="T30" s="156"/>
      <c r="U30" s="156"/>
      <c r="V30" s="156"/>
      <c r="W30" s="156"/>
      <c r="X30" s="156"/>
      <c r="Y30" s="156"/>
      <c r="Z30" s="156"/>
      <c r="AA30" s="156"/>
    </row>
    <row r="31" spans="1:27" x14ac:dyDescent="0.25">
      <c r="A31" s="216" t="s">
        <v>49</v>
      </c>
      <c r="B31" s="211">
        <v>1000</v>
      </c>
      <c r="C31" s="219"/>
      <c r="D31" s="2"/>
      <c r="E31" s="2"/>
      <c r="F31" s="2"/>
      <c r="G31" s="2"/>
      <c r="H31" s="156"/>
      <c r="I31" s="156"/>
      <c r="J31" s="156"/>
      <c r="K31" s="156"/>
      <c r="L31" s="156"/>
      <c r="M31" s="156"/>
      <c r="N31" s="178" t="s">
        <v>15</v>
      </c>
      <c r="O31" s="156"/>
      <c r="P31" s="156"/>
      <c r="Q31" s="249" t="s">
        <v>48</v>
      </c>
      <c r="R31" s="166"/>
      <c r="S31" s="156"/>
      <c r="T31" s="156"/>
      <c r="U31" s="156"/>
      <c r="V31" s="156"/>
      <c r="W31" s="156"/>
      <c r="X31" s="156"/>
      <c r="Y31" s="156"/>
      <c r="Z31" s="156"/>
      <c r="AA31" s="156"/>
    </row>
    <row r="32" spans="1:27" ht="16.5" thickBot="1" x14ac:dyDescent="0.3">
      <c r="A32" s="216" t="s">
        <v>56</v>
      </c>
      <c r="B32" s="211">
        <v>500</v>
      </c>
      <c r="C32" s="219"/>
      <c r="D32" s="2"/>
      <c r="E32" s="2"/>
      <c r="F32" s="2"/>
      <c r="G32" s="2"/>
      <c r="H32" s="156"/>
      <c r="I32" s="156"/>
      <c r="J32" s="156"/>
      <c r="K32" s="156"/>
      <c r="L32" s="156"/>
      <c r="M32" s="156"/>
      <c r="N32" s="178" t="s">
        <v>13</v>
      </c>
      <c r="O32" s="156"/>
      <c r="P32" s="156"/>
      <c r="Q32" s="250"/>
      <c r="R32" s="170"/>
      <c r="S32" s="156"/>
      <c r="T32" s="156"/>
      <c r="U32" s="156"/>
      <c r="V32" s="156"/>
      <c r="W32" s="156"/>
      <c r="X32" s="156"/>
      <c r="Y32" s="156"/>
      <c r="Z32" s="156"/>
      <c r="AA32" s="156"/>
    </row>
    <row r="33" spans="1:27" x14ac:dyDescent="0.25">
      <c r="A33" s="216" t="s">
        <v>65</v>
      </c>
      <c r="B33" s="211">
        <v>1200</v>
      </c>
      <c r="C33" s="219"/>
      <c r="D33" s="2"/>
      <c r="E33" s="2"/>
      <c r="F33" s="2"/>
      <c r="G33" s="2"/>
      <c r="H33" s="156"/>
      <c r="I33" s="156"/>
      <c r="J33" s="156"/>
      <c r="K33" s="156"/>
      <c r="L33" s="156"/>
      <c r="M33" s="156"/>
      <c r="N33" s="178" t="s">
        <v>50</v>
      </c>
      <c r="O33" s="156"/>
      <c r="P33" s="156"/>
      <c r="Q33" s="249" t="s">
        <v>54</v>
      </c>
      <c r="R33" s="166"/>
      <c r="S33" s="156"/>
      <c r="T33" s="156"/>
      <c r="U33" s="156"/>
      <c r="V33" s="156"/>
      <c r="W33" s="156"/>
      <c r="X33" s="156"/>
      <c r="Y33" s="156"/>
      <c r="Z33" s="156"/>
      <c r="AA33" s="156"/>
    </row>
    <row r="34" spans="1:27" ht="16.5" thickBot="1" x14ac:dyDescent="0.3">
      <c r="A34" s="216" t="s">
        <v>66</v>
      </c>
      <c r="B34" s="211">
        <v>4800</v>
      </c>
      <c r="C34" s="219"/>
      <c r="D34" s="2"/>
      <c r="E34" s="2"/>
      <c r="F34" s="2"/>
      <c r="G34" s="2"/>
      <c r="H34" s="156"/>
      <c r="I34" s="156"/>
      <c r="J34" s="156"/>
      <c r="K34" s="156"/>
      <c r="L34" s="156"/>
      <c r="M34" s="156"/>
      <c r="N34" s="178" t="s">
        <v>14</v>
      </c>
      <c r="O34" s="156"/>
      <c r="P34" s="156"/>
      <c r="Q34" s="250"/>
      <c r="R34" s="170"/>
      <c r="S34" s="156"/>
      <c r="T34" s="156"/>
      <c r="U34" s="156"/>
      <c r="V34" s="156"/>
      <c r="W34" s="156"/>
      <c r="X34" s="156"/>
      <c r="Y34" s="156"/>
      <c r="Z34" s="156"/>
      <c r="AA34" s="156"/>
    </row>
    <row r="35" spans="1:27" x14ac:dyDescent="0.25">
      <c r="A35" s="216" t="s">
        <v>15</v>
      </c>
      <c r="B35" s="211">
        <v>15000</v>
      </c>
      <c r="C35" s="226" t="str">
        <f>"previous "&amp;Financial_Year</f>
        <v>previous 2018</v>
      </c>
      <c r="D35" s="2"/>
      <c r="E35" s="2"/>
      <c r="F35" s="2"/>
      <c r="G35" s="2"/>
      <c r="H35" s="156"/>
      <c r="I35" s="156"/>
      <c r="J35" s="156"/>
      <c r="K35" s="156"/>
      <c r="L35" s="156"/>
      <c r="M35" s="156"/>
      <c r="N35" s="178"/>
      <c r="O35" s="156"/>
      <c r="P35" s="156"/>
      <c r="Q35" s="249" t="s">
        <v>49</v>
      </c>
      <c r="R35" s="166"/>
      <c r="S35" s="156"/>
      <c r="T35" s="156"/>
      <c r="U35" s="156"/>
      <c r="V35" s="156"/>
      <c r="W35" s="156"/>
      <c r="X35" s="156"/>
      <c r="Y35" s="156"/>
      <c r="Z35" s="156"/>
      <c r="AA35" s="156"/>
    </row>
    <row r="36" spans="1:27" ht="16.5" thickBot="1" x14ac:dyDescent="0.3">
      <c r="A36" s="216" t="s">
        <v>13</v>
      </c>
      <c r="B36" s="211">
        <v>2400</v>
      </c>
      <c r="C36" s="219"/>
      <c r="D36" s="2"/>
      <c r="E36" s="2"/>
      <c r="F36" s="2"/>
      <c r="G36" s="2"/>
      <c r="H36" s="156"/>
      <c r="I36" s="156"/>
      <c r="J36" s="156"/>
      <c r="K36" s="156"/>
      <c r="L36" s="156"/>
      <c r="M36" s="156"/>
      <c r="N36" s="178" t="s">
        <v>91</v>
      </c>
      <c r="O36" s="156"/>
      <c r="P36" s="156"/>
      <c r="Q36" s="250"/>
      <c r="R36" s="170"/>
      <c r="S36" s="156"/>
      <c r="T36" s="156"/>
      <c r="U36" s="156"/>
      <c r="V36" s="156"/>
      <c r="W36" s="156"/>
      <c r="X36" s="156"/>
      <c r="Y36" s="156"/>
      <c r="Z36" s="156"/>
      <c r="AA36" s="156"/>
    </row>
    <row r="37" spans="1:27" x14ac:dyDescent="0.25">
      <c r="A37" s="216" t="s">
        <v>50</v>
      </c>
      <c r="B37" s="211">
        <v>10000</v>
      </c>
      <c r="C37" s="219"/>
      <c r="D37" s="2"/>
      <c r="E37" s="2"/>
      <c r="F37" s="2"/>
      <c r="G37" s="2"/>
      <c r="H37" s="156"/>
      <c r="I37" s="156"/>
      <c r="J37" s="156"/>
      <c r="K37" s="156"/>
      <c r="L37" s="156"/>
      <c r="M37" s="156"/>
      <c r="N37" s="156"/>
      <c r="O37" s="156"/>
      <c r="P37" s="156"/>
      <c r="Q37" s="249" t="s">
        <v>56</v>
      </c>
      <c r="R37" s="166"/>
      <c r="S37" s="156"/>
      <c r="T37" s="156"/>
      <c r="U37" s="156"/>
      <c r="V37" s="156"/>
      <c r="W37" s="156"/>
      <c r="X37" s="156"/>
      <c r="Y37" s="156"/>
      <c r="Z37" s="156"/>
      <c r="AA37" s="156"/>
    </row>
    <row r="38" spans="1:27" ht="16.5" thickBot="1" x14ac:dyDescent="0.3">
      <c r="A38" s="117"/>
      <c r="B38" s="7"/>
      <c r="C38" s="219"/>
      <c r="D38" s="2"/>
      <c r="E38" s="2"/>
      <c r="F38" s="2"/>
      <c r="G38" s="2"/>
      <c r="H38" s="156"/>
      <c r="I38" s="156"/>
      <c r="J38" s="156"/>
      <c r="K38" s="156"/>
      <c r="L38" s="156"/>
      <c r="M38" s="156"/>
      <c r="N38" s="156"/>
      <c r="O38" s="156"/>
      <c r="P38" s="156"/>
      <c r="Q38" s="250"/>
      <c r="R38" s="170"/>
      <c r="S38" s="156"/>
      <c r="T38" s="156"/>
      <c r="U38" s="156"/>
      <c r="V38" s="156"/>
      <c r="W38" s="156"/>
      <c r="X38" s="156"/>
      <c r="Y38" s="156"/>
      <c r="Z38" s="156"/>
      <c r="AA38" s="156"/>
    </row>
    <row r="39" spans="1:27" x14ac:dyDescent="0.25">
      <c r="A39" s="212" t="s">
        <v>113</v>
      </c>
      <c r="B39" s="232"/>
      <c r="C39" s="219"/>
      <c r="D39" s="2"/>
      <c r="E39" s="2"/>
      <c r="F39" s="2"/>
      <c r="G39" s="2"/>
      <c r="H39" s="156"/>
      <c r="I39" s="156"/>
      <c r="J39" s="156"/>
      <c r="K39" s="156"/>
      <c r="L39" s="156"/>
      <c r="M39" s="156"/>
      <c r="N39" s="156"/>
      <c r="O39" s="156"/>
      <c r="P39" s="156"/>
      <c r="Q39" s="249" t="s">
        <v>65</v>
      </c>
      <c r="R39" s="166"/>
      <c r="S39" s="156"/>
      <c r="T39" s="156"/>
      <c r="U39" s="156"/>
      <c r="V39" s="156"/>
      <c r="W39" s="156"/>
      <c r="X39" s="156"/>
      <c r="Y39" s="156"/>
      <c r="Z39" s="156"/>
      <c r="AA39" s="156"/>
    </row>
    <row r="40" spans="1:27" ht="16.5" thickBot="1" x14ac:dyDescent="0.3">
      <c r="A40" s="216" t="s">
        <v>91</v>
      </c>
      <c r="B40" s="211">
        <v>500000</v>
      </c>
      <c r="C40" s="219"/>
      <c r="D40" s="2"/>
      <c r="E40" s="2"/>
      <c r="F40" s="2"/>
      <c r="G40" s="2"/>
      <c r="H40" s="156"/>
      <c r="I40" s="156"/>
      <c r="J40" s="156"/>
      <c r="K40" s="156"/>
      <c r="L40" s="156"/>
      <c r="M40" s="156"/>
      <c r="N40" s="156"/>
      <c r="O40" s="156"/>
      <c r="P40" s="156"/>
      <c r="Q40" s="250"/>
      <c r="R40" s="170"/>
      <c r="S40" s="156"/>
      <c r="T40" s="156"/>
      <c r="U40" s="156"/>
      <c r="V40" s="156"/>
      <c r="W40" s="156"/>
      <c r="X40" s="156"/>
      <c r="Y40" s="156"/>
      <c r="Z40" s="156"/>
      <c r="AA40" s="156"/>
    </row>
    <row r="41" spans="1:27" x14ac:dyDescent="0.25">
      <c r="A41" s="216" t="s">
        <v>14</v>
      </c>
      <c r="B41" s="211">
        <v>12000</v>
      </c>
      <c r="C41" s="226" t="str">
        <f>"previous "&amp;Financial_Year</f>
        <v>previous 2018</v>
      </c>
      <c r="D41" s="2"/>
      <c r="E41" s="2"/>
      <c r="F41" s="2"/>
      <c r="G41" s="2"/>
      <c r="H41" s="156"/>
      <c r="I41" s="156"/>
      <c r="J41" s="156"/>
      <c r="K41" s="156"/>
      <c r="L41" s="156"/>
      <c r="M41" s="156"/>
      <c r="N41" s="156"/>
      <c r="O41" s="156"/>
      <c r="P41" s="156"/>
      <c r="Q41" s="249" t="s">
        <v>106</v>
      </c>
      <c r="R41" s="166"/>
      <c r="S41" s="156"/>
      <c r="T41" s="156"/>
      <c r="U41" s="156"/>
      <c r="V41" s="156"/>
      <c r="W41" s="156"/>
      <c r="X41" s="156"/>
      <c r="Y41" s="156"/>
      <c r="Z41" s="156"/>
      <c r="AA41" s="156"/>
    </row>
    <row r="42" spans="1:27" ht="16.5" thickBot="1" x14ac:dyDescent="0.3">
      <c r="A42" s="214" t="s">
        <v>115</v>
      </c>
      <c r="B42" s="211">
        <v>12000</v>
      </c>
      <c r="C42" s="226"/>
      <c r="D42" s="2"/>
      <c r="E42" s="2"/>
      <c r="F42" s="2"/>
      <c r="G42" s="2"/>
      <c r="H42" s="156"/>
      <c r="I42" s="156"/>
      <c r="J42" s="156"/>
      <c r="K42" s="156"/>
      <c r="L42" s="156"/>
      <c r="M42" s="156"/>
      <c r="N42" s="156"/>
      <c r="O42" s="156"/>
      <c r="P42" s="156"/>
      <c r="Q42" s="250"/>
      <c r="R42" s="170"/>
      <c r="S42" s="156"/>
      <c r="T42" s="156"/>
      <c r="U42" s="156"/>
      <c r="V42" s="156"/>
      <c r="W42" s="156"/>
      <c r="X42" s="156"/>
      <c r="Y42" s="156"/>
      <c r="Z42" s="156"/>
      <c r="AA42" s="156"/>
    </row>
    <row r="43" spans="1:27" x14ac:dyDescent="0.25">
      <c r="A43" s="214" t="s">
        <v>116</v>
      </c>
      <c r="B43" s="211">
        <v>12000</v>
      </c>
      <c r="C43" s="219"/>
      <c r="D43" s="2"/>
      <c r="E43" s="2"/>
      <c r="F43" s="2"/>
      <c r="G43" s="2"/>
      <c r="H43" s="156"/>
      <c r="I43" s="156"/>
      <c r="J43" s="156"/>
      <c r="K43" s="156"/>
      <c r="L43" s="156"/>
      <c r="M43" s="156"/>
      <c r="N43" s="156"/>
      <c r="O43" s="156"/>
      <c r="P43" s="156"/>
      <c r="Q43" s="249" t="s">
        <v>15</v>
      </c>
      <c r="R43" s="166"/>
      <c r="S43" s="156"/>
      <c r="T43" s="156"/>
      <c r="U43" s="156"/>
      <c r="V43" s="156"/>
      <c r="W43" s="156"/>
      <c r="X43" s="156"/>
      <c r="Y43" s="156"/>
      <c r="Z43" s="156"/>
      <c r="AA43" s="156"/>
    </row>
    <row r="44" spans="1:27" ht="16.5" thickBot="1" x14ac:dyDescent="0.3">
      <c r="A44" s="214" t="s">
        <v>117</v>
      </c>
      <c r="B44" s="211">
        <v>12000</v>
      </c>
      <c r="C44" s="219"/>
      <c r="D44" s="2"/>
      <c r="E44" s="2"/>
      <c r="F44" s="2"/>
      <c r="G44" s="2"/>
      <c r="H44" s="156"/>
      <c r="I44" s="156"/>
      <c r="J44" s="156"/>
      <c r="K44" s="156"/>
      <c r="L44" s="156"/>
      <c r="M44" s="156"/>
      <c r="N44" s="156"/>
      <c r="O44" s="156"/>
      <c r="P44" s="156"/>
      <c r="Q44" s="250"/>
      <c r="R44" s="170"/>
      <c r="S44" s="156"/>
      <c r="T44" s="156"/>
      <c r="U44" s="156"/>
      <c r="V44" s="156"/>
      <c r="W44" s="156"/>
      <c r="X44" s="156"/>
      <c r="Y44" s="156"/>
      <c r="Z44" s="156"/>
      <c r="AA44" s="156"/>
    </row>
    <row r="45" spans="1:27" x14ac:dyDescent="0.25">
      <c r="A45" s="214" t="s">
        <v>118</v>
      </c>
      <c r="B45" s="211">
        <v>12000</v>
      </c>
      <c r="C45" s="219"/>
      <c r="D45" s="2"/>
      <c r="E45" s="2"/>
      <c r="F45" s="2"/>
      <c r="G45" s="2"/>
      <c r="H45" s="156"/>
      <c r="I45" s="156"/>
      <c r="J45" s="156"/>
      <c r="K45" s="156"/>
      <c r="L45" s="156"/>
      <c r="M45" s="156"/>
      <c r="N45" s="156"/>
      <c r="O45" s="156"/>
      <c r="P45" s="156"/>
      <c r="Q45" s="249" t="s">
        <v>13</v>
      </c>
      <c r="R45" s="166"/>
      <c r="S45" s="156"/>
      <c r="T45" s="156"/>
      <c r="U45" s="156"/>
      <c r="V45" s="156"/>
      <c r="W45" s="156"/>
      <c r="X45" s="156"/>
      <c r="Y45" s="156"/>
      <c r="Z45" s="156"/>
      <c r="AA45" s="156"/>
    </row>
    <row r="46" spans="1:27" ht="16.5" thickBot="1" x14ac:dyDescent="0.3">
      <c r="A46" s="214" t="s">
        <v>119</v>
      </c>
      <c r="B46" s="211">
        <v>12000</v>
      </c>
      <c r="C46" s="219"/>
      <c r="D46" s="2"/>
      <c r="E46" s="2"/>
      <c r="F46" s="2"/>
      <c r="G46" s="2"/>
      <c r="H46" s="156"/>
      <c r="I46" s="156"/>
      <c r="J46" s="156"/>
      <c r="K46" s="156"/>
      <c r="L46" s="156"/>
      <c r="M46" s="156"/>
      <c r="N46" s="156"/>
      <c r="O46" s="156"/>
      <c r="P46" s="156"/>
      <c r="Q46" s="250"/>
      <c r="R46" s="170"/>
      <c r="S46" s="156"/>
      <c r="T46" s="156"/>
      <c r="U46" s="156"/>
      <c r="V46" s="156"/>
      <c r="W46" s="156"/>
      <c r="X46" s="156"/>
      <c r="Y46" s="156"/>
      <c r="Z46" s="156"/>
      <c r="AA46" s="156"/>
    </row>
    <row r="47" spans="1:27" x14ac:dyDescent="0.25">
      <c r="A47" s="216" t="s">
        <v>97</v>
      </c>
      <c r="B47" s="211"/>
      <c r="C47" s="226" t="str">
        <f>"previous "&amp;Financial_Year</f>
        <v>previous 2018</v>
      </c>
      <c r="D47" s="2"/>
      <c r="E47" s="2"/>
      <c r="F47" s="2"/>
      <c r="G47" s="2"/>
      <c r="H47" s="156"/>
      <c r="I47" s="156"/>
      <c r="J47" s="156"/>
      <c r="K47" s="156"/>
      <c r="L47" s="156"/>
      <c r="M47" s="156"/>
      <c r="N47" s="156"/>
      <c r="O47" s="156"/>
      <c r="P47" s="156"/>
      <c r="Q47" s="249" t="s">
        <v>50</v>
      </c>
      <c r="R47" s="166"/>
      <c r="S47" s="156"/>
      <c r="T47" s="156"/>
      <c r="U47" s="156"/>
      <c r="V47" s="156"/>
      <c r="W47" s="156"/>
      <c r="X47" s="156"/>
      <c r="Y47" s="156"/>
      <c r="Z47" s="156"/>
      <c r="AA47" s="156"/>
    </row>
    <row r="48" spans="1:27" ht="16.5" thickBot="1" x14ac:dyDescent="0.3">
      <c r="A48" s="214" t="s">
        <v>115</v>
      </c>
      <c r="B48" s="211">
        <v>0</v>
      </c>
      <c r="C48" s="219"/>
      <c r="D48" s="2"/>
      <c r="E48" s="2"/>
      <c r="F48" s="2"/>
      <c r="G48" s="2"/>
      <c r="H48" s="156"/>
      <c r="I48" s="156"/>
      <c r="J48" s="156"/>
      <c r="K48" s="156"/>
      <c r="L48" s="156"/>
      <c r="M48" s="156"/>
      <c r="N48" s="156"/>
      <c r="O48" s="156"/>
      <c r="P48" s="156"/>
      <c r="Q48" s="250"/>
      <c r="R48" s="170"/>
      <c r="S48" s="156"/>
      <c r="T48" s="156"/>
      <c r="U48" s="156"/>
      <c r="V48" s="156"/>
      <c r="W48" s="156"/>
      <c r="X48" s="156"/>
      <c r="Y48" s="156"/>
      <c r="Z48" s="156"/>
      <c r="AA48" s="156"/>
    </row>
    <row r="49" spans="1:27" x14ac:dyDescent="0.25">
      <c r="A49" s="214" t="s">
        <v>116</v>
      </c>
      <c r="B49" s="211">
        <v>0</v>
      </c>
      <c r="C49" s="219"/>
      <c r="D49" s="2"/>
      <c r="E49" s="2"/>
      <c r="F49" s="2"/>
      <c r="G49" s="2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</row>
    <row r="50" spans="1:27" x14ac:dyDescent="0.25">
      <c r="A50" s="214" t="s">
        <v>117</v>
      </c>
      <c r="B50" s="211">
        <v>0</v>
      </c>
      <c r="C50" s="219"/>
      <c r="D50" s="2"/>
      <c r="E50" s="2"/>
      <c r="F50" s="2"/>
      <c r="G50" s="2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</row>
    <row r="51" spans="1:27" x14ac:dyDescent="0.25">
      <c r="A51" s="214" t="s">
        <v>118</v>
      </c>
      <c r="B51" s="211">
        <v>0</v>
      </c>
      <c r="C51" s="219"/>
      <c r="D51" s="2"/>
      <c r="E51" s="2"/>
      <c r="F51" s="2"/>
      <c r="G51" s="2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</row>
    <row r="52" spans="1:27" x14ac:dyDescent="0.25">
      <c r="A52" s="214" t="s">
        <v>119</v>
      </c>
      <c r="B52" s="211">
        <v>0</v>
      </c>
      <c r="C52" s="219"/>
      <c r="D52" s="2"/>
      <c r="E52" s="2"/>
      <c r="F52" s="2"/>
      <c r="G52" s="2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</row>
    <row r="53" spans="1:27" x14ac:dyDescent="0.25">
      <c r="A53" s="216" t="s">
        <v>114</v>
      </c>
      <c r="B53" s="211">
        <v>0</v>
      </c>
      <c r="C53" s="226" t="str">
        <f>"previous "&amp;Financial_Year</f>
        <v>previous 2018</v>
      </c>
      <c r="D53" s="2"/>
      <c r="E53" s="2"/>
      <c r="F53" s="2"/>
      <c r="G53" s="2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</row>
    <row r="54" spans="1:27" x14ac:dyDescent="0.25">
      <c r="A54" s="214" t="s">
        <v>115</v>
      </c>
      <c r="B54" s="211">
        <v>0</v>
      </c>
      <c r="C54" s="219"/>
      <c r="D54" s="2"/>
      <c r="E54" s="2"/>
      <c r="F54" s="2"/>
      <c r="G54" s="2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</row>
    <row r="55" spans="1:27" x14ac:dyDescent="0.25">
      <c r="A55" s="214" t="s">
        <v>116</v>
      </c>
      <c r="B55" s="211">
        <v>0</v>
      </c>
      <c r="C55" s="219"/>
      <c r="D55" s="2"/>
      <c r="E55" s="2"/>
      <c r="F55" s="2"/>
      <c r="G55" s="2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</row>
    <row r="56" spans="1:27" x14ac:dyDescent="0.25">
      <c r="A56" s="214" t="s">
        <v>117</v>
      </c>
      <c r="B56" s="211">
        <v>0</v>
      </c>
      <c r="C56" s="219"/>
      <c r="D56" s="2"/>
      <c r="E56" s="2"/>
      <c r="F56" s="2"/>
      <c r="G56" s="2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</row>
    <row r="57" spans="1:27" x14ac:dyDescent="0.25">
      <c r="A57" s="214" t="s">
        <v>118</v>
      </c>
      <c r="B57" s="211">
        <v>0</v>
      </c>
      <c r="C57" s="219"/>
      <c r="D57" s="2"/>
      <c r="E57" s="2"/>
      <c r="F57" s="2"/>
      <c r="G57" s="2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</row>
    <row r="58" spans="1:27" x14ac:dyDescent="0.25">
      <c r="A58" s="214" t="s">
        <v>119</v>
      </c>
      <c r="B58" s="211">
        <v>0</v>
      </c>
      <c r="C58" s="219"/>
      <c r="D58" s="2"/>
      <c r="E58" s="2"/>
      <c r="F58" s="2"/>
      <c r="G58" s="2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</row>
    <row r="59" spans="1:27" x14ac:dyDescent="0.25">
      <c r="A59" s="216" t="s">
        <v>20</v>
      </c>
      <c r="B59" s="211">
        <v>0</v>
      </c>
      <c r="C59" s="219"/>
      <c r="D59" s="2"/>
      <c r="E59" s="2"/>
      <c r="F59" s="2"/>
      <c r="G59" s="2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</row>
    <row r="60" spans="1:27" x14ac:dyDescent="0.25">
      <c r="A60" s="216" t="s">
        <v>8</v>
      </c>
      <c r="B60" s="111">
        <v>0.24696499705314637</v>
      </c>
      <c r="C60" s="219"/>
      <c r="D60" s="2"/>
      <c r="E60" s="2"/>
      <c r="F60" s="2"/>
      <c r="G60" s="2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</row>
    <row r="61" spans="1:27" x14ac:dyDescent="0.25">
      <c r="A61" s="216" t="s">
        <v>7</v>
      </c>
      <c r="B61" s="111">
        <v>0.12</v>
      </c>
      <c r="C61" s="219"/>
      <c r="D61" s="2"/>
      <c r="E61" s="2"/>
      <c r="F61" s="2"/>
      <c r="G61" s="2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</row>
    <row r="62" spans="1:27" x14ac:dyDescent="0.25">
      <c r="A62" s="216" t="s">
        <v>98</v>
      </c>
      <c r="B62" s="111">
        <v>0.05</v>
      </c>
      <c r="C62" s="219"/>
      <c r="D62" s="2"/>
      <c r="E62" s="2"/>
      <c r="F62" s="2"/>
      <c r="G62" s="2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</row>
    <row r="63" spans="1:27" x14ac:dyDescent="0.25">
      <c r="A63" s="216" t="s">
        <v>99</v>
      </c>
      <c r="B63" s="111">
        <v>0.04</v>
      </c>
      <c r="C63" s="219"/>
      <c r="D63" s="2"/>
      <c r="E63" s="2"/>
      <c r="F63" s="2"/>
      <c r="G63" s="2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</row>
    <row r="64" spans="1:27" x14ac:dyDescent="0.25">
      <c r="A64" s="216" t="s">
        <v>5</v>
      </c>
      <c r="B64" s="137">
        <v>10</v>
      </c>
      <c r="C64" s="219"/>
      <c r="D64" s="2"/>
      <c r="E64" s="2"/>
      <c r="F64" s="2"/>
      <c r="G64" s="2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</row>
    <row r="65" spans="1:27" x14ac:dyDescent="0.25">
      <c r="A65" s="117" t="s">
        <v>139</v>
      </c>
      <c r="B65" s="111">
        <v>0</v>
      </c>
      <c r="C65" s="219"/>
      <c r="D65" s="2"/>
      <c r="E65" s="2"/>
      <c r="F65" s="2"/>
      <c r="G65" s="2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</row>
    <row r="66" spans="1:27" x14ac:dyDescent="0.25">
      <c r="A66" s="216" t="s">
        <v>140</v>
      </c>
      <c r="B66" s="211">
        <v>0</v>
      </c>
      <c r="C66" s="219"/>
      <c r="D66" s="2"/>
      <c r="E66" s="2"/>
      <c r="F66" s="2"/>
      <c r="G66" s="2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</row>
    <row r="67" spans="1:27" x14ac:dyDescent="0.25">
      <c r="A67" s="216" t="s">
        <v>161</v>
      </c>
      <c r="B67" s="211">
        <v>0</v>
      </c>
      <c r="C67" s="219"/>
      <c r="D67" s="2"/>
      <c r="E67" s="2"/>
      <c r="F67" s="2"/>
      <c r="G67" s="2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</row>
    <row r="68" spans="1:27" x14ac:dyDescent="0.25">
      <c r="A68" s="216" t="s">
        <v>141</v>
      </c>
      <c r="B68" s="211">
        <v>0</v>
      </c>
      <c r="C68" s="219"/>
      <c r="D68" s="2"/>
      <c r="E68" s="2"/>
      <c r="F68" s="2"/>
      <c r="G68" s="2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</row>
    <row r="69" spans="1:27" x14ac:dyDescent="0.25">
      <c r="A69" s="217" t="s">
        <v>146</v>
      </c>
      <c r="B69" s="211">
        <v>0</v>
      </c>
      <c r="C69" s="219"/>
      <c r="D69" s="2"/>
      <c r="E69" s="2"/>
      <c r="F69" s="2"/>
      <c r="G69" s="2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</row>
    <row r="70" spans="1:27" x14ac:dyDescent="0.25">
      <c r="A70" s="217" t="s">
        <v>147</v>
      </c>
      <c r="B70" s="211">
        <v>0</v>
      </c>
      <c r="C70" s="219"/>
      <c r="D70" s="2"/>
      <c r="E70" s="2"/>
      <c r="F70" s="2"/>
      <c r="G70" s="2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</row>
    <row r="71" spans="1:27" x14ac:dyDescent="0.25">
      <c r="A71" s="217" t="s">
        <v>148</v>
      </c>
      <c r="B71" s="211">
        <v>0</v>
      </c>
      <c r="C71" s="219"/>
      <c r="D71" s="2"/>
      <c r="E71" s="2"/>
      <c r="F71" s="2"/>
      <c r="G71" s="2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</row>
    <row r="72" spans="1:27" x14ac:dyDescent="0.25">
      <c r="A72" s="117" t="s">
        <v>151</v>
      </c>
      <c r="B72" s="211">
        <v>0</v>
      </c>
      <c r="C72" s="219"/>
      <c r="D72" s="2"/>
      <c r="E72" s="2"/>
      <c r="F72" s="2"/>
      <c r="G72" s="2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</row>
    <row r="73" spans="1:27" x14ac:dyDescent="0.25">
      <c r="A73" s="117" t="s">
        <v>155</v>
      </c>
      <c r="B73" s="211">
        <v>0</v>
      </c>
      <c r="C73" s="219"/>
      <c r="D73" s="2"/>
      <c r="E73" s="2"/>
      <c r="F73" s="2"/>
      <c r="G73" s="2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</row>
    <row r="74" spans="1:27" x14ac:dyDescent="0.25">
      <c r="A74" s="217" t="s">
        <v>165</v>
      </c>
      <c r="B74" s="211">
        <v>0</v>
      </c>
      <c r="C74" s="219"/>
      <c r="D74" s="2"/>
      <c r="E74" s="2"/>
      <c r="F74" s="2"/>
      <c r="G74" s="2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</row>
    <row r="75" spans="1:27" x14ac:dyDescent="0.25">
      <c r="A75" s="217" t="s">
        <v>157</v>
      </c>
      <c r="B75" s="211">
        <v>0</v>
      </c>
      <c r="C75" s="219"/>
      <c r="D75" s="2"/>
      <c r="E75" s="2"/>
      <c r="F75" s="2"/>
      <c r="G75" s="2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</row>
    <row r="76" spans="1:27" x14ac:dyDescent="0.25">
      <c r="A76" s="217" t="s">
        <v>167</v>
      </c>
      <c r="B76" s="211">
        <v>0</v>
      </c>
      <c r="C76" s="219"/>
      <c r="D76" s="2"/>
      <c r="E76" s="2"/>
      <c r="F76" s="2"/>
      <c r="G76" s="2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</row>
    <row r="77" spans="1:27" ht="16.5" thickBot="1" x14ac:dyDescent="0.3">
      <c r="A77" s="218" t="s">
        <v>172</v>
      </c>
      <c r="B77" s="241">
        <v>0.1</v>
      </c>
      <c r="C77" s="227"/>
      <c r="D77" s="2"/>
      <c r="E77" s="2"/>
      <c r="F77" s="2"/>
      <c r="G77" s="2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</row>
    <row r="78" spans="1:27" x14ac:dyDescent="0.25">
      <c r="A78" s="2"/>
      <c r="B78" s="2"/>
      <c r="C78" s="2"/>
      <c r="D78" s="2"/>
      <c r="E78" s="2"/>
      <c r="F78" s="2"/>
      <c r="G78" s="2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</row>
    <row r="79" spans="1:27" x14ac:dyDescent="0.25">
      <c r="A79" s="2"/>
      <c r="B79" s="2"/>
      <c r="C79" s="2"/>
      <c r="D79" s="2"/>
      <c r="E79" s="2"/>
      <c r="F79" s="2"/>
      <c r="G79" s="2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  <c r="AA79" s="156"/>
    </row>
    <row r="80" spans="1:27" x14ac:dyDescent="0.25">
      <c r="A80" s="2"/>
      <c r="B80" s="2"/>
      <c r="C80" s="2"/>
      <c r="D80" s="2"/>
      <c r="E80" s="2"/>
      <c r="F80" s="2"/>
      <c r="G80" s="2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</row>
    <row r="81" spans="1:27" x14ac:dyDescent="0.25">
      <c r="A81" s="2"/>
      <c r="B81" s="2"/>
      <c r="C81" s="2"/>
      <c r="D81" s="2"/>
      <c r="E81" s="2"/>
      <c r="F81" s="2"/>
      <c r="G81" s="2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</row>
    <row r="82" spans="1:27" x14ac:dyDescent="0.25">
      <c r="A82" s="2"/>
      <c r="B82" s="2"/>
      <c r="C82" s="2"/>
      <c r="D82" s="2"/>
      <c r="E82" s="2"/>
      <c r="F82" s="2"/>
      <c r="G82" s="2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</row>
  </sheetData>
  <mergeCells count="23">
    <mergeCell ref="Q37:Q38"/>
    <mergeCell ref="Q17:Q18"/>
    <mergeCell ref="Q19:Q20"/>
    <mergeCell ref="Q21:Q22"/>
    <mergeCell ref="Q23:Q24"/>
    <mergeCell ref="Q25:Q26"/>
    <mergeCell ref="Q27:Q28"/>
    <mergeCell ref="Q3:R4"/>
    <mergeCell ref="Q29:Q30"/>
    <mergeCell ref="Q31:Q32"/>
    <mergeCell ref="Q33:Q34"/>
    <mergeCell ref="Q35:Q36"/>
    <mergeCell ref="Q5:Q6"/>
    <mergeCell ref="Q7:Q8"/>
    <mergeCell ref="Q9:Q10"/>
    <mergeCell ref="Q11:Q12"/>
    <mergeCell ref="Q13:Q14"/>
    <mergeCell ref="Q15:Q16"/>
    <mergeCell ref="Q39:Q40"/>
    <mergeCell ref="Q41:Q42"/>
    <mergeCell ref="Q43:Q44"/>
    <mergeCell ref="Q45:Q46"/>
    <mergeCell ref="Q47:Q48"/>
  </mergeCells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7200" r:id="rId4" name="CommandButton3">
          <controlPr defaultSize="0" autoLine="0" r:id="rId5">
            <anchor moveWithCells="1">
              <from>
                <xdr:col>22</xdr:col>
                <xdr:colOff>666750</xdr:colOff>
                <xdr:row>8</xdr:row>
                <xdr:rowOff>133350</xdr:rowOff>
              </from>
              <to>
                <xdr:col>25</xdr:col>
                <xdr:colOff>361950</xdr:colOff>
                <xdr:row>12</xdr:row>
                <xdr:rowOff>152400</xdr:rowOff>
              </to>
            </anchor>
          </controlPr>
        </control>
      </mc:Choice>
      <mc:Fallback>
        <control shapeId="7200" r:id="rId4" name="CommandButton3"/>
      </mc:Fallback>
    </mc:AlternateContent>
    <mc:AlternateContent xmlns:mc="http://schemas.openxmlformats.org/markup-compatibility/2006">
      <mc:Choice Requires="x14">
        <control shapeId="7171" r:id="rId6" name="CheckBox1">
          <controlPr defaultSize="0" autoLine="0" r:id="rId7">
            <anchor moveWithCells="1">
              <from>
                <xdr:col>17</xdr:col>
                <xdr:colOff>95250</xdr:colOff>
                <xdr:row>4</xdr:row>
                <xdr:rowOff>38100</xdr:rowOff>
              </from>
              <to>
                <xdr:col>17</xdr:col>
                <xdr:colOff>1123950</xdr:colOff>
                <xdr:row>5</xdr:row>
                <xdr:rowOff>180975</xdr:rowOff>
              </to>
            </anchor>
          </controlPr>
        </control>
      </mc:Choice>
      <mc:Fallback>
        <control shapeId="7171" r:id="rId6" name="CheckBox1"/>
      </mc:Fallback>
    </mc:AlternateContent>
    <mc:AlternateContent xmlns:mc="http://schemas.openxmlformats.org/markup-compatibility/2006">
      <mc:Choice Requires="x14">
        <control shapeId="7172" r:id="rId8" name="CheckBox2">
          <controlPr defaultSize="0" autoLine="0" r:id="rId9">
            <anchor moveWithCells="1">
              <from>
                <xdr:col>17</xdr:col>
                <xdr:colOff>95250</xdr:colOff>
                <xdr:row>6</xdr:row>
                <xdr:rowOff>38100</xdr:rowOff>
              </from>
              <to>
                <xdr:col>17</xdr:col>
                <xdr:colOff>1123950</xdr:colOff>
                <xdr:row>7</xdr:row>
                <xdr:rowOff>190500</xdr:rowOff>
              </to>
            </anchor>
          </controlPr>
        </control>
      </mc:Choice>
      <mc:Fallback>
        <control shapeId="7172" r:id="rId8" name="CheckBox2"/>
      </mc:Fallback>
    </mc:AlternateContent>
    <mc:AlternateContent xmlns:mc="http://schemas.openxmlformats.org/markup-compatibility/2006">
      <mc:Choice Requires="x14">
        <control shapeId="7173" r:id="rId10" name="CheckBox3">
          <controlPr defaultSize="0" autoLine="0" r:id="rId11">
            <anchor moveWithCells="1">
              <from>
                <xdr:col>17</xdr:col>
                <xdr:colOff>95250</xdr:colOff>
                <xdr:row>8</xdr:row>
                <xdr:rowOff>38100</xdr:rowOff>
              </from>
              <to>
                <xdr:col>17</xdr:col>
                <xdr:colOff>1123950</xdr:colOff>
                <xdr:row>9</xdr:row>
                <xdr:rowOff>190500</xdr:rowOff>
              </to>
            </anchor>
          </controlPr>
        </control>
      </mc:Choice>
      <mc:Fallback>
        <control shapeId="7173" r:id="rId10" name="CheckBox3"/>
      </mc:Fallback>
    </mc:AlternateContent>
    <mc:AlternateContent xmlns:mc="http://schemas.openxmlformats.org/markup-compatibility/2006">
      <mc:Choice Requires="x14">
        <control shapeId="7174" r:id="rId12" name="CheckBox4">
          <controlPr defaultSize="0" autoLine="0" r:id="rId13">
            <anchor moveWithCells="1">
              <from>
                <xdr:col>17</xdr:col>
                <xdr:colOff>95250</xdr:colOff>
                <xdr:row>10</xdr:row>
                <xdr:rowOff>38100</xdr:rowOff>
              </from>
              <to>
                <xdr:col>17</xdr:col>
                <xdr:colOff>1123950</xdr:colOff>
                <xdr:row>11</xdr:row>
                <xdr:rowOff>190500</xdr:rowOff>
              </to>
            </anchor>
          </controlPr>
        </control>
      </mc:Choice>
      <mc:Fallback>
        <control shapeId="7174" r:id="rId12" name="CheckBox4"/>
      </mc:Fallback>
    </mc:AlternateContent>
    <mc:AlternateContent xmlns:mc="http://schemas.openxmlformats.org/markup-compatibility/2006">
      <mc:Choice Requires="x14">
        <control shapeId="7175" r:id="rId14" name="CheckBox5">
          <controlPr defaultSize="0" autoLine="0" r:id="rId15">
            <anchor moveWithCells="1">
              <from>
                <xdr:col>17</xdr:col>
                <xdr:colOff>95250</xdr:colOff>
                <xdr:row>12</xdr:row>
                <xdr:rowOff>38100</xdr:rowOff>
              </from>
              <to>
                <xdr:col>17</xdr:col>
                <xdr:colOff>1123950</xdr:colOff>
                <xdr:row>13</xdr:row>
                <xdr:rowOff>190500</xdr:rowOff>
              </to>
            </anchor>
          </controlPr>
        </control>
      </mc:Choice>
      <mc:Fallback>
        <control shapeId="7175" r:id="rId14" name="CheckBox5"/>
      </mc:Fallback>
    </mc:AlternateContent>
    <mc:AlternateContent xmlns:mc="http://schemas.openxmlformats.org/markup-compatibility/2006">
      <mc:Choice Requires="x14">
        <control shapeId="7176" r:id="rId16" name="CheckBox6">
          <controlPr defaultSize="0" autoLine="0" r:id="rId17">
            <anchor moveWithCells="1">
              <from>
                <xdr:col>17</xdr:col>
                <xdr:colOff>95250</xdr:colOff>
                <xdr:row>14</xdr:row>
                <xdr:rowOff>38100</xdr:rowOff>
              </from>
              <to>
                <xdr:col>17</xdr:col>
                <xdr:colOff>1123950</xdr:colOff>
                <xdr:row>15</xdr:row>
                <xdr:rowOff>190500</xdr:rowOff>
              </to>
            </anchor>
          </controlPr>
        </control>
      </mc:Choice>
      <mc:Fallback>
        <control shapeId="7176" r:id="rId16" name="CheckBox6"/>
      </mc:Fallback>
    </mc:AlternateContent>
    <mc:AlternateContent xmlns:mc="http://schemas.openxmlformats.org/markup-compatibility/2006">
      <mc:Choice Requires="x14">
        <control shapeId="7177" r:id="rId18" name="CheckBox7">
          <controlPr defaultSize="0" autoLine="0" r:id="rId19">
            <anchor moveWithCells="1">
              <from>
                <xdr:col>17</xdr:col>
                <xdr:colOff>95250</xdr:colOff>
                <xdr:row>16</xdr:row>
                <xdr:rowOff>38100</xdr:rowOff>
              </from>
              <to>
                <xdr:col>17</xdr:col>
                <xdr:colOff>1123950</xdr:colOff>
                <xdr:row>17</xdr:row>
                <xdr:rowOff>190500</xdr:rowOff>
              </to>
            </anchor>
          </controlPr>
        </control>
      </mc:Choice>
      <mc:Fallback>
        <control shapeId="7177" r:id="rId18" name="CheckBox7"/>
      </mc:Fallback>
    </mc:AlternateContent>
    <mc:AlternateContent xmlns:mc="http://schemas.openxmlformats.org/markup-compatibility/2006">
      <mc:Choice Requires="x14">
        <control shapeId="7178" r:id="rId20" name="CheckBox8">
          <controlPr defaultSize="0" autoLine="0" r:id="rId21">
            <anchor moveWithCells="1">
              <from>
                <xdr:col>17</xdr:col>
                <xdr:colOff>95250</xdr:colOff>
                <xdr:row>18</xdr:row>
                <xdr:rowOff>38100</xdr:rowOff>
              </from>
              <to>
                <xdr:col>17</xdr:col>
                <xdr:colOff>1123950</xdr:colOff>
                <xdr:row>19</xdr:row>
                <xdr:rowOff>190500</xdr:rowOff>
              </to>
            </anchor>
          </controlPr>
        </control>
      </mc:Choice>
      <mc:Fallback>
        <control shapeId="7178" r:id="rId20" name="CheckBox8"/>
      </mc:Fallback>
    </mc:AlternateContent>
    <mc:AlternateContent xmlns:mc="http://schemas.openxmlformats.org/markup-compatibility/2006">
      <mc:Choice Requires="x14">
        <control shapeId="7179" r:id="rId22" name="CheckBox9">
          <controlPr defaultSize="0" autoLine="0" r:id="rId23">
            <anchor moveWithCells="1">
              <from>
                <xdr:col>17</xdr:col>
                <xdr:colOff>95250</xdr:colOff>
                <xdr:row>20</xdr:row>
                <xdr:rowOff>38100</xdr:rowOff>
              </from>
              <to>
                <xdr:col>17</xdr:col>
                <xdr:colOff>1123950</xdr:colOff>
                <xdr:row>21</xdr:row>
                <xdr:rowOff>190500</xdr:rowOff>
              </to>
            </anchor>
          </controlPr>
        </control>
      </mc:Choice>
      <mc:Fallback>
        <control shapeId="7179" r:id="rId22" name="CheckBox9"/>
      </mc:Fallback>
    </mc:AlternateContent>
    <mc:AlternateContent xmlns:mc="http://schemas.openxmlformats.org/markup-compatibility/2006">
      <mc:Choice Requires="x14">
        <control shapeId="7180" r:id="rId24" name="CheckBox10">
          <controlPr defaultSize="0" autoLine="0" r:id="rId25">
            <anchor moveWithCells="1">
              <from>
                <xdr:col>17</xdr:col>
                <xdr:colOff>95250</xdr:colOff>
                <xdr:row>22</xdr:row>
                <xdr:rowOff>38100</xdr:rowOff>
              </from>
              <to>
                <xdr:col>17</xdr:col>
                <xdr:colOff>1123950</xdr:colOff>
                <xdr:row>23</xdr:row>
                <xdr:rowOff>190500</xdr:rowOff>
              </to>
            </anchor>
          </controlPr>
        </control>
      </mc:Choice>
      <mc:Fallback>
        <control shapeId="7180" r:id="rId24" name="CheckBox10"/>
      </mc:Fallback>
    </mc:AlternateContent>
    <mc:AlternateContent xmlns:mc="http://schemas.openxmlformats.org/markup-compatibility/2006">
      <mc:Choice Requires="x14">
        <control shapeId="7181" r:id="rId26" name="CheckBox11">
          <controlPr defaultSize="0" autoLine="0" r:id="rId27">
            <anchor moveWithCells="1">
              <from>
                <xdr:col>17</xdr:col>
                <xdr:colOff>95250</xdr:colOff>
                <xdr:row>24</xdr:row>
                <xdr:rowOff>38100</xdr:rowOff>
              </from>
              <to>
                <xdr:col>17</xdr:col>
                <xdr:colOff>1123950</xdr:colOff>
                <xdr:row>25</xdr:row>
                <xdr:rowOff>190500</xdr:rowOff>
              </to>
            </anchor>
          </controlPr>
        </control>
      </mc:Choice>
      <mc:Fallback>
        <control shapeId="7181" r:id="rId26" name="CheckBox11"/>
      </mc:Fallback>
    </mc:AlternateContent>
    <mc:AlternateContent xmlns:mc="http://schemas.openxmlformats.org/markup-compatibility/2006">
      <mc:Choice Requires="x14">
        <control shapeId="7182" r:id="rId28" name="CheckBox12">
          <controlPr defaultSize="0" autoLine="0" r:id="rId29">
            <anchor moveWithCells="1">
              <from>
                <xdr:col>17</xdr:col>
                <xdr:colOff>95250</xdr:colOff>
                <xdr:row>26</xdr:row>
                <xdr:rowOff>38100</xdr:rowOff>
              </from>
              <to>
                <xdr:col>17</xdr:col>
                <xdr:colOff>1123950</xdr:colOff>
                <xdr:row>27</xdr:row>
                <xdr:rowOff>190500</xdr:rowOff>
              </to>
            </anchor>
          </controlPr>
        </control>
      </mc:Choice>
      <mc:Fallback>
        <control shapeId="7182" r:id="rId28" name="CheckBox12"/>
      </mc:Fallback>
    </mc:AlternateContent>
    <mc:AlternateContent xmlns:mc="http://schemas.openxmlformats.org/markup-compatibility/2006">
      <mc:Choice Requires="x14">
        <control shapeId="7183" r:id="rId30" name="CheckBox13">
          <controlPr defaultSize="0" autoLine="0" r:id="rId31">
            <anchor moveWithCells="1">
              <from>
                <xdr:col>17</xdr:col>
                <xdr:colOff>95250</xdr:colOff>
                <xdr:row>28</xdr:row>
                <xdr:rowOff>38100</xdr:rowOff>
              </from>
              <to>
                <xdr:col>17</xdr:col>
                <xdr:colOff>1123950</xdr:colOff>
                <xdr:row>29</xdr:row>
                <xdr:rowOff>190500</xdr:rowOff>
              </to>
            </anchor>
          </controlPr>
        </control>
      </mc:Choice>
      <mc:Fallback>
        <control shapeId="7183" r:id="rId30" name="CheckBox13"/>
      </mc:Fallback>
    </mc:AlternateContent>
    <mc:AlternateContent xmlns:mc="http://schemas.openxmlformats.org/markup-compatibility/2006">
      <mc:Choice Requires="x14">
        <control shapeId="7184" r:id="rId32" name="CheckBox14">
          <controlPr defaultSize="0" autoLine="0" r:id="rId33">
            <anchor moveWithCells="1">
              <from>
                <xdr:col>17</xdr:col>
                <xdr:colOff>95250</xdr:colOff>
                <xdr:row>30</xdr:row>
                <xdr:rowOff>38100</xdr:rowOff>
              </from>
              <to>
                <xdr:col>17</xdr:col>
                <xdr:colOff>1123950</xdr:colOff>
                <xdr:row>31</xdr:row>
                <xdr:rowOff>190500</xdr:rowOff>
              </to>
            </anchor>
          </controlPr>
        </control>
      </mc:Choice>
      <mc:Fallback>
        <control shapeId="7184" r:id="rId32" name="CheckBox14"/>
      </mc:Fallback>
    </mc:AlternateContent>
    <mc:AlternateContent xmlns:mc="http://schemas.openxmlformats.org/markup-compatibility/2006">
      <mc:Choice Requires="x14">
        <control shapeId="7185" r:id="rId34" name="CheckBox15">
          <controlPr defaultSize="0" autoLine="0" r:id="rId35">
            <anchor moveWithCells="1">
              <from>
                <xdr:col>17</xdr:col>
                <xdr:colOff>95250</xdr:colOff>
                <xdr:row>32</xdr:row>
                <xdr:rowOff>38100</xdr:rowOff>
              </from>
              <to>
                <xdr:col>17</xdr:col>
                <xdr:colOff>1123950</xdr:colOff>
                <xdr:row>33</xdr:row>
                <xdr:rowOff>190500</xdr:rowOff>
              </to>
            </anchor>
          </controlPr>
        </control>
      </mc:Choice>
      <mc:Fallback>
        <control shapeId="7185" r:id="rId34" name="CheckBox15"/>
      </mc:Fallback>
    </mc:AlternateContent>
    <mc:AlternateContent xmlns:mc="http://schemas.openxmlformats.org/markup-compatibility/2006">
      <mc:Choice Requires="x14">
        <control shapeId="7187" r:id="rId36" name="CheckBox">
          <controlPr defaultSize="0" autoLine="0" altText="Hi" r:id="rId37">
            <anchor moveWithCells="1">
              <from>
                <xdr:col>17</xdr:col>
                <xdr:colOff>95250</xdr:colOff>
                <xdr:row>34</xdr:row>
                <xdr:rowOff>47625</xdr:rowOff>
              </from>
              <to>
                <xdr:col>18</xdr:col>
                <xdr:colOff>0</xdr:colOff>
                <xdr:row>35</xdr:row>
                <xdr:rowOff>161925</xdr:rowOff>
              </to>
            </anchor>
          </controlPr>
        </control>
      </mc:Choice>
      <mc:Fallback>
        <control shapeId="7187" r:id="rId36" name="CheckBox"/>
      </mc:Fallback>
    </mc:AlternateContent>
    <mc:AlternateContent xmlns:mc="http://schemas.openxmlformats.org/markup-compatibility/2006">
      <mc:Choice Requires="x14">
        <control shapeId="7189" r:id="rId38" name="CheckBox17">
          <controlPr defaultSize="0" autoLine="0" r:id="rId39">
            <anchor moveWithCells="1">
              <from>
                <xdr:col>17</xdr:col>
                <xdr:colOff>95250</xdr:colOff>
                <xdr:row>36</xdr:row>
                <xdr:rowOff>47625</xdr:rowOff>
              </from>
              <to>
                <xdr:col>18</xdr:col>
                <xdr:colOff>0</xdr:colOff>
                <xdr:row>37</xdr:row>
                <xdr:rowOff>161925</xdr:rowOff>
              </to>
            </anchor>
          </controlPr>
        </control>
      </mc:Choice>
      <mc:Fallback>
        <control shapeId="7189" r:id="rId38" name="CheckBox17"/>
      </mc:Fallback>
    </mc:AlternateContent>
    <mc:AlternateContent xmlns:mc="http://schemas.openxmlformats.org/markup-compatibility/2006">
      <mc:Choice Requires="x14">
        <control shapeId="7190" r:id="rId40" name="CheckBox18">
          <controlPr defaultSize="0" autoLine="0" r:id="rId41">
            <anchor moveWithCells="1">
              <from>
                <xdr:col>17</xdr:col>
                <xdr:colOff>85725</xdr:colOff>
                <xdr:row>38</xdr:row>
                <xdr:rowOff>47625</xdr:rowOff>
              </from>
              <to>
                <xdr:col>17</xdr:col>
                <xdr:colOff>1152525</xdr:colOff>
                <xdr:row>39</xdr:row>
                <xdr:rowOff>161925</xdr:rowOff>
              </to>
            </anchor>
          </controlPr>
        </control>
      </mc:Choice>
      <mc:Fallback>
        <control shapeId="7190" r:id="rId40" name="CheckBox18"/>
      </mc:Fallback>
    </mc:AlternateContent>
    <mc:AlternateContent xmlns:mc="http://schemas.openxmlformats.org/markup-compatibility/2006">
      <mc:Choice Requires="x14">
        <control shapeId="7191" r:id="rId42" name="CheckBox16">
          <controlPr defaultSize="0" autoLine="0" r:id="rId43">
            <anchor moveWithCells="1">
              <from>
                <xdr:col>17</xdr:col>
                <xdr:colOff>85725</xdr:colOff>
                <xdr:row>40</xdr:row>
                <xdr:rowOff>47625</xdr:rowOff>
              </from>
              <to>
                <xdr:col>17</xdr:col>
                <xdr:colOff>1152525</xdr:colOff>
                <xdr:row>41</xdr:row>
                <xdr:rowOff>161925</xdr:rowOff>
              </to>
            </anchor>
          </controlPr>
        </control>
      </mc:Choice>
      <mc:Fallback>
        <control shapeId="7191" r:id="rId42" name="CheckBox16"/>
      </mc:Fallback>
    </mc:AlternateContent>
    <mc:AlternateContent xmlns:mc="http://schemas.openxmlformats.org/markup-compatibility/2006">
      <mc:Choice Requires="x14">
        <control shapeId="7192" r:id="rId44" name="CheckBox19">
          <controlPr defaultSize="0" autoLine="0" r:id="rId45">
            <anchor moveWithCells="1">
              <from>
                <xdr:col>17</xdr:col>
                <xdr:colOff>85725</xdr:colOff>
                <xdr:row>42</xdr:row>
                <xdr:rowOff>47625</xdr:rowOff>
              </from>
              <to>
                <xdr:col>17</xdr:col>
                <xdr:colOff>1152525</xdr:colOff>
                <xdr:row>43</xdr:row>
                <xdr:rowOff>161925</xdr:rowOff>
              </to>
            </anchor>
          </controlPr>
        </control>
      </mc:Choice>
      <mc:Fallback>
        <control shapeId="7192" r:id="rId44" name="CheckBox19"/>
      </mc:Fallback>
    </mc:AlternateContent>
    <mc:AlternateContent xmlns:mc="http://schemas.openxmlformats.org/markup-compatibility/2006">
      <mc:Choice Requires="x14">
        <control shapeId="7193" r:id="rId46" name="CheckBox20">
          <controlPr defaultSize="0" autoLine="0" r:id="rId47">
            <anchor moveWithCells="1">
              <from>
                <xdr:col>17</xdr:col>
                <xdr:colOff>85725</xdr:colOff>
                <xdr:row>44</xdr:row>
                <xdr:rowOff>47625</xdr:rowOff>
              </from>
              <to>
                <xdr:col>17</xdr:col>
                <xdr:colOff>1152525</xdr:colOff>
                <xdr:row>45</xdr:row>
                <xdr:rowOff>161925</xdr:rowOff>
              </to>
            </anchor>
          </controlPr>
        </control>
      </mc:Choice>
      <mc:Fallback>
        <control shapeId="7193" r:id="rId46" name="CheckBox20"/>
      </mc:Fallback>
    </mc:AlternateContent>
    <mc:AlternateContent xmlns:mc="http://schemas.openxmlformats.org/markup-compatibility/2006">
      <mc:Choice Requires="x14">
        <control shapeId="7195" r:id="rId48" name="CommandButton1">
          <controlPr defaultSize="0" autoLine="0" r:id="rId49">
            <anchor moveWithCells="1">
              <from>
                <xdr:col>9</xdr:col>
                <xdr:colOff>447675</xdr:colOff>
                <xdr:row>6</xdr:row>
                <xdr:rowOff>95250</xdr:rowOff>
              </from>
              <to>
                <xdr:col>12</xdr:col>
                <xdr:colOff>180975</xdr:colOff>
                <xdr:row>9</xdr:row>
                <xdr:rowOff>190500</xdr:rowOff>
              </to>
            </anchor>
          </controlPr>
        </control>
      </mc:Choice>
      <mc:Fallback>
        <control shapeId="7195" r:id="rId48" name="CommandButton1"/>
      </mc:Fallback>
    </mc:AlternateContent>
    <mc:AlternateContent xmlns:mc="http://schemas.openxmlformats.org/markup-compatibility/2006">
      <mc:Choice Requires="x14">
        <control shapeId="7198" r:id="rId50" name="CheckBox21">
          <controlPr defaultSize="0" autoLine="0" r:id="rId51">
            <anchor moveWithCells="1">
              <from>
                <xdr:col>17</xdr:col>
                <xdr:colOff>85725</xdr:colOff>
                <xdr:row>46</xdr:row>
                <xdr:rowOff>19050</xdr:rowOff>
              </from>
              <to>
                <xdr:col>17</xdr:col>
                <xdr:colOff>1143000</xdr:colOff>
                <xdr:row>47</xdr:row>
                <xdr:rowOff>142875</xdr:rowOff>
              </to>
            </anchor>
          </controlPr>
        </control>
      </mc:Choice>
      <mc:Fallback>
        <control shapeId="7198" r:id="rId50" name="CheckBox21"/>
      </mc:Fallback>
    </mc:AlternateContent>
    <mc:AlternateContent xmlns:mc="http://schemas.openxmlformats.org/markup-compatibility/2006">
      <mc:Choice Requires="x14">
        <control shapeId="7199" r:id="rId52" name="CommandButton2">
          <controlPr defaultSize="0" autoLine="0" r:id="rId53">
            <anchor moveWithCells="1">
              <from>
                <xdr:col>22</xdr:col>
                <xdr:colOff>609600</xdr:colOff>
                <xdr:row>2</xdr:row>
                <xdr:rowOff>0</xdr:rowOff>
              </from>
              <to>
                <xdr:col>25</xdr:col>
                <xdr:colOff>352425</xdr:colOff>
                <xdr:row>6</xdr:row>
                <xdr:rowOff>28575</xdr:rowOff>
              </to>
            </anchor>
          </controlPr>
        </control>
      </mc:Choice>
      <mc:Fallback>
        <control shapeId="7199" r:id="rId52" name="CommandButton2"/>
      </mc:Fallback>
    </mc:AlternateContent>
    <mc:AlternateContent xmlns:mc="http://schemas.openxmlformats.org/markup-compatibility/2006">
      <mc:Choice Requires="x14">
        <control shapeId="7169" r:id="rId54" name="Button 1">
          <controlPr defaultSize="0" print="0" autoFill="0" autoPict="0" macro="[0]!MonteCarlo">
            <anchor moveWithCells="1" sizeWithCells="1">
              <from>
                <xdr:col>9</xdr:col>
                <xdr:colOff>504825</xdr:colOff>
                <xdr:row>1</xdr:row>
                <xdr:rowOff>114300</xdr:rowOff>
              </from>
              <to>
                <xdr:col>12</xdr:col>
                <xdr:colOff>47625</xdr:colOff>
                <xdr:row>4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6AAC0-8F29-4A6D-A5D6-CD106CDCAC01}">
  <sheetPr codeName="Sheet3"/>
  <dimension ref="A1:D82"/>
  <sheetViews>
    <sheetView workbookViewId="0">
      <selection activeCell="D3" sqref="D3"/>
    </sheetView>
  </sheetViews>
  <sheetFormatPr defaultRowHeight="15.75" x14ac:dyDescent="0.25"/>
  <cols>
    <col min="1" max="1" width="21.75" customWidth="1"/>
    <col min="2" max="2" width="12" customWidth="1"/>
    <col min="3" max="4" width="11"/>
  </cols>
  <sheetData>
    <row r="1" spans="1:4" ht="21" x14ac:dyDescent="0.35">
      <c r="A1" s="240" t="s">
        <v>58</v>
      </c>
      <c r="B1" s="11"/>
      <c r="C1" s="11"/>
      <c r="D1" s="233"/>
    </row>
    <row r="2" spans="1:4" ht="16.5" thickBot="1" x14ac:dyDescent="0.3">
      <c r="A2" s="3" t="s">
        <v>100</v>
      </c>
      <c r="B2" s="3">
        <v>2018</v>
      </c>
      <c r="C2" s="2"/>
      <c r="D2" s="2"/>
    </row>
    <row r="3" spans="1:4" ht="18.75" x14ac:dyDescent="0.3">
      <c r="A3" s="206" t="s">
        <v>78</v>
      </c>
      <c r="B3" s="18"/>
      <c r="C3" s="19"/>
      <c r="D3" s="2"/>
    </row>
    <row r="4" spans="1:4" x14ac:dyDescent="0.25">
      <c r="A4" s="212" t="s">
        <v>112</v>
      </c>
      <c r="B4" s="7"/>
      <c r="C4" s="219"/>
      <c r="D4" s="2"/>
    </row>
    <row r="5" spans="1:4" x14ac:dyDescent="0.25">
      <c r="A5" s="117" t="s">
        <v>21</v>
      </c>
      <c r="B5" s="207">
        <v>5</v>
      </c>
      <c r="C5" s="219"/>
      <c r="D5" s="2"/>
    </row>
    <row r="6" spans="1:4" x14ac:dyDescent="0.25">
      <c r="A6" s="117" t="s">
        <v>22</v>
      </c>
      <c r="B6" s="207">
        <v>3</v>
      </c>
      <c r="C6" s="219"/>
      <c r="D6" s="2"/>
    </row>
    <row r="7" spans="1:4" x14ac:dyDescent="0.25">
      <c r="A7" s="117" t="s">
        <v>23</v>
      </c>
      <c r="B7" s="207">
        <v>2</v>
      </c>
      <c r="C7" s="219"/>
      <c r="D7" s="2"/>
    </row>
    <row r="8" spans="1:4" x14ac:dyDescent="0.25">
      <c r="A8" s="213" t="s">
        <v>61</v>
      </c>
      <c r="B8" s="228">
        <f>SUM(B5:B7)</f>
        <v>10</v>
      </c>
      <c r="C8" s="219"/>
      <c r="D8" s="2"/>
    </row>
    <row r="9" spans="1:4" x14ac:dyDescent="0.25">
      <c r="A9" s="213" t="s">
        <v>25</v>
      </c>
      <c r="B9" s="229">
        <f>Daily_Potential_Customers*Market_Share</f>
        <v>100</v>
      </c>
      <c r="C9" s="226" t="s">
        <v>28</v>
      </c>
      <c r="D9" s="2"/>
    </row>
    <row r="10" spans="1:4" x14ac:dyDescent="0.25">
      <c r="A10" s="214" t="s">
        <v>30</v>
      </c>
      <c r="B10" s="229">
        <f>Daily_Order_Volume*Days_per_Year</f>
        <v>36000</v>
      </c>
      <c r="C10" s="226"/>
      <c r="D10" s="2"/>
    </row>
    <row r="11" spans="1:4" x14ac:dyDescent="0.25">
      <c r="A11" s="215" t="s">
        <v>62</v>
      </c>
      <c r="B11" s="208">
        <v>2000</v>
      </c>
      <c r="C11" s="219"/>
      <c r="D11" s="2"/>
    </row>
    <row r="12" spans="1:4" x14ac:dyDescent="0.25">
      <c r="A12" s="215" t="s">
        <v>63</v>
      </c>
      <c r="B12" s="209">
        <v>0.05</v>
      </c>
      <c r="C12" s="219"/>
      <c r="D12" s="2"/>
    </row>
    <row r="13" spans="1:4" x14ac:dyDescent="0.25">
      <c r="A13" s="117" t="s">
        <v>51</v>
      </c>
      <c r="B13" s="230">
        <f>Percent_Ingredients*Avg_Order_Sale*Yearly_Order_Volume</f>
        <v>108000</v>
      </c>
      <c r="C13" s="226" t="str">
        <f>"assuming "&amp;Percent_Ingredients*100&amp;"% of sales"</f>
        <v>assuming 30% of sales</v>
      </c>
      <c r="D13" s="2"/>
    </row>
    <row r="14" spans="1:4" x14ac:dyDescent="0.25">
      <c r="A14" s="214" t="s">
        <v>110</v>
      </c>
      <c r="B14" s="210">
        <v>0.3</v>
      </c>
      <c r="C14" s="219"/>
      <c r="D14" s="2"/>
    </row>
    <row r="15" spans="1:4" x14ac:dyDescent="0.25">
      <c r="A15" s="117" t="s">
        <v>90</v>
      </c>
      <c r="B15" s="211">
        <v>10</v>
      </c>
      <c r="C15" s="219"/>
      <c r="D15" s="2"/>
    </row>
    <row r="16" spans="1:4" x14ac:dyDescent="0.25">
      <c r="A16" s="117" t="s">
        <v>46</v>
      </c>
      <c r="B16" s="211">
        <v>5000</v>
      </c>
      <c r="C16" s="219"/>
      <c r="D16" s="2"/>
    </row>
    <row r="17" spans="1:4" x14ac:dyDescent="0.25">
      <c r="A17" s="117" t="s">
        <v>47</v>
      </c>
      <c r="B17" s="211">
        <v>2000</v>
      </c>
      <c r="C17" s="219"/>
      <c r="D17" s="2"/>
    </row>
    <row r="18" spans="1:4" x14ac:dyDescent="0.25">
      <c r="A18" s="117" t="s">
        <v>26</v>
      </c>
      <c r="B18" s="230">
        <f>Percent_Salary*Avg_Order_Sale*Yearly_Order_Volume</f>
        <v>118800.00000000001</v>
      </c>
      <c r="C18" s="226" t="str">
        <f>"assuming "&amp;Percent_Salary*100&amp;"% of sales"</f>
        <v>assuming 33% of sales</v>
      </c>
      <c r="D18" s="2"/>
    </row>
    <row r="19" spans="1:4" x14ac:dyDescent="0.25">
      <c r="A19" s="214" t="s">
        <v>111</v>
      </c>
      <c r="B19" s="210">
        <v>0.33</v>
      </c>
      <c r="C19" s="219"/>
      <c r="D19" s="2"/>
    </row>
    <row r="20" spans="1:4" x14ac:dyDescent="0.25">
      <c r="A20" s="117" t="s">
        <v>45</v>
      </c>
      <c r="B20" s="211">
        <v>100000</v>
      </c>
      <c r="C20" s="219"/>
      <c r="D20" s="2"/>
    </row>
    <row r="21" spans="1:4" x14ac:dyDescent="0.25">
      <c r="A21" s="117" t="s">
        <v>67</v>
      </c>
      <c r="B21" s="211">
        <v>50000</v>
      </c>
      <c r="C21" s="219"/>
      <c r="D21" s="2"/>
    </row>
    <row r="22" spans="1:4" x14ac:dyDescent="0.25">
      <c r="A22" s="117" t="s">
        <v>120</v>
      </c>
      <c r="B22" s="211">
        <v>0</v>
      </c>
      <c r="C22" s="219"/>
      <c r="D22" s="2"/>
    </row>
    <row r="23" spans="1:4" x14ac:dyDescent="0.25">
      <c r="A23" s="216" t="s">
        <v>96</v>
      </c>
      <c r="B23" s="231">
        <f>Truck_Purchase_Cost+Kitchen_Equipment+Other_Capex</f>
        <v>150000</v>
      </c>
      <c r="C23" s="226" t="str">
        <f>"previous "&amp;Financial_Year</f>
        <v>previous 2018</v>
      </c>
      <c r="D23" s="2"/>
    </row>
    <row r="24" spans="1:4" x14ac:dyDescent="0.25">
      <c r="A24" s="214" t="s">
        <v>115</v>
      </c>
      <c r="B24" s="211">
        <v>200000</v>
      </c>
      <c r="C24" s="219"/>
      <c r="D24" s="2"/>
    </row>
    <row r="25" spans="1:4" x14ac:dyDescent="0.25">
      <c r="A25" s="214" t="s">
        <v>116</v>
      </c>
      <c r="B25" s="211">
        <v>200000</v>
      </c>
      <c r="C25" s="219"/>
      <c r="D25" s="2"/>
    </row>
    <row r="26" spans="1:4" x14ac:dyDescent="0.25">
      <c r="A26" s="214" t="s">
        <v>117</v>
      </c>
      <c r="B26" s="211">
        <v>175000</v>
      </c>
      <c r="C26" s="219"/>
      <c r="D26" s="2"/>
    </row>
    <row r="27" spans="1:4" x14ac:dyDescent="0.25">
      <c r="A27" s="214" t="s">
        <v>118</v>
      </c>
      <c r="B27" s="211">
        <v>100000</v>
      </c>
      <c r="C27" s="219"/>
      <c r="D27" s="2"/>
    </row>
    <row r="28" spans="1:4" x14ac:dyDescent="0.25">
      <c r="A28" s="214" t="s">
        <v>119</v>
      </c>
      <c r="B28" s="211">
        <v>75000</v>
      </c>
      <c r="C28" s="219"/>
      <c r="D28" s="2"/>
    </row>
    <row r="29" spans="1:4" x14ac:dyDescent="0.25">
      <c r="A29" s="216" t="s">
        <v>48</v>
      </c>
      <c r="B29" s="211">
        <v>20000</v>
      </c>
      <c r="C29" s="219"/>
      <c r="D29" s="2"/>
    </row>
    <row r="30" spans="1:4" x14ac:dyDescent="0.25">
      <c r="A30" s="216" t="s">
        <v>54</v>
      </c>
      <c r="B30" s="211">
        <v>30000</v>
      </c>
      <c r="C30" s="219"/>
      <c r="D30" s="2"/>
    </row>
    <row r="31" spans="1:4" x14ac:dyDescent="0.25">
      <c r="A31" s="216" t="s">
        <v>49</v>
      </c>
      <c r="B31" s="211">
        <v>1000</v>
      </c>
      <c r="C31" s="219"/>
      <c r="D31" s="2"/>
    </row>
    <row r="32" spans="1:4" x14ac:dyDescent="0.25">
      <c r="A32" s="216" t="s">
        <v>56</v>
      </c>
      <c r="B32" s="211">
        <v>500</v>
      </c>
      <c r="C32" s="219"/>
      <c r="D32" s="2"/>
    </row>
    <row r="33" spans="1:4" x14ac:dyDescent="0.25">
      <c r="A33" s="216" t="s">
        <v>65</v>
      </c>
      <c r="B33" s="211">
        <v>1200</v>
      </c>
      <c r="C33" s="219"/>
      <c r="D33" s="2"/>
    </row>
    <row r="34" spans="1:4" x14ac:dyDescent="0.25">
      <c r="A34" s="216" t="s">
        <v>66</v>
      </c>
      <c r="B34" s="211">
        <v>4800</v>
      </c>
      <c r="C34" s="219"/>
      <c r="D34" s="2"/>
    </row>
    <row r="35" spans="1:4" x14ac:dyDescent="0.25">
      <c r="A35" s="216" t="s">
        <v>15</v>
      </c>
      <c r="B35" s="211">
        <v>15000</v>
      </c>
      <c r="C35" s="226" t="str">
        <f>"previous "&amp;Financial_Year</f>
        <v>previous 2018</v>
      </c>
      <c r="D35" s="2"/>
    </row>
    <row r="36" spans="1:4" x14ac:dyDescent="0.25">
      <c r="A36" s="216" t="s">
        <v>13</v>
      </c>
      <c r="B36" s="211">
        <v>2400</v>
      </c>
      <c r="C36" s="219"/>
      <c r="D36" s="2"/>
    </row>
    <row r="37" spans="1:4" x14ac:dyDescent="0.25">
      <c r="A37" s="216" t="s">
        <v>50</v>
      </c>
      <c r="B37" s="211">
        <v>10000</v>
      </c>
      <c r="C37" s="219"/>
      <c r="D37" s="2"/>
    </row>
    <row r="38" spans="1:4" x14ac:dyDescent="0.25">
      <c r="A38" s="117"/>
      <c r="B38" s="7"/>
      <c r="C38" s="219"/>
      <c r="D38" s="2"/>
    </row>
    <row r="39" spans="1:4" x14ac:dyDescent="0.25">
      <c r="A39" s="212" t="s">
        <v>113</v>
      </c>
      <c r="B39" s="232"/>
      <c r="C39" s="219"/>
      <c r="D39" s="2"/>
    </row>
    <row r="40" spans="1:4" x14ac:dyDescent="0.25">
      <c r="A40" s="216" t="s">
        <v>91</v>
      </c>
      <c r="B40" s="211">
        <v>500000</v>
      </c>
      <c r="C40" s="219"/>
      <c r="D40" s="2"/>
    </row>
    <row r="41" spans="1:4" x14ac:dyDescent="0.25">
      <c r="A41" s="216" t="s">
        <v>14</v>
      </c>
      <c r="B41" s="211">
        <v>12000</v>
      </c>
      <c r="C41" s="226" t="str">
        <f>"previous "&amp;Financial_Year</f>
        <v>previous 2018</v>
      </c>
      <c r="D41" s="2"/>
    </row>
    <row r="42" spans="1:4" x14ac:dyDescent="0.25">
      <c r="A42" s="214" t="s">
        <v>115</v>
      </c>
      <c r="B42" s="211">
        <v>12000</v>
      </c>
      <c r="C42" s="226"/>
      <c r="D42" s="2"/>
    </row>
    <row r="43" spans="1:4" x14ac:dyDescent="0.25">
      <c r="A43" s="214" t="s">
        <v>116</v>
      </c>
      <c r="B43" s="211">
        <v>12000</v>
      </c>
      <c r="C43" s="219"/>
      <c r="D43" s="2"/>
    </row>
    <row r="44" spans="1:4" x14ac:dyDescent="0.25">
      <c r="A44" s="214" t="s">
        <v>117</v>
      </c>
      <c r="B44" s="211">
        <v>12000</v>
      </c>
      <c r="C44" s="219"/>
      <c r="D44" s="2"/>
    </row>
    <row r="45" spans="1:4" x14ac:dyDescent="0.25">
      <c r="A45" s="214" t="s">
        <v>118</v>
      </c>
      <c r="B45" s="211">
        <v>12000</v>
      </c>
      <c r="C45" s="219"/>
      <c r="D45" s="2"/>
    </row>
    <row r="46" spans="1:4" x14ac:dyDescent="0.25">
      <c r="A46" s="214" t="s">
        <v>119</v>
      </c>
      <c r="B46" s="211">
        <v>12000</v>
      </c>
      <c r="C46" s="219"/>
      <c r="D46" s="2"/>
    </row>
    <row r="47" spans="1:4" x14ac:dyDescent="0.25">
      <c r="A47" s="216" t="s">
        <v>97</v>
      </c>
      <c r="B47" s="211"/>
      <c r="C47" s="226" t="str">
        <f>"previous "&amp;Financial_Year</f>
        <v>previous 2018</v>
      </c>
      <c r="D47" s="2"/>
    </row>
    <row r="48" spans="1:4" x14ac:dyDescent="0.25">
      <c r="A48" s="214" t="s">
        <v>115</v>
      </c>
      <c r="B48" s="211">
        <v>0</v>
      </c>
      <c r="C48" s="219"/>
      <c r="D48" s="2"/>
    </row>
    <row r="49" spans="1:4" x14ac:dyDescent="0.25">
      <c r="A49" s="214" t="s">
        <v>116</v>
      </c>
      <c r="B49" s="211">
        <v>0</v>
      </c>
      <c r="C49" s="219"/>
      <c r="D49" s="2"/>
    </row>
    <row r="50" spans="1:4" x14ac:dyDescent="0.25">
      <c r="A50" s="214" t="s">
        <v>117</v>
      </c>
      <c r="B50" s="211">
        <v>0</v>
      </c>
      <c r="C50" s="219"/>
      <c r="D50" s="2"/>
    </row>
    <row r="51" spans="1:4" x14ac:dyDescent="0.25">
      <c r="A51" s="214" t="s">
        <v>118</v>
      </c>
      <c r="B51" s="211">
        <v>0</v>
      </c>
      <c r="C51" s="219"/>
      <c r="D51" s="2"/>
    </row>
    <row r="52" spans="1:4" x14ac:dyDescent="0.25">
      <c r="A52" s="214" t="s">
        <v>119</v>
      </c>
      <c r="B52" s="211">
        <v>0</v>
      </c>
      <c r="C52" s="219"/>
      <c r="D52" s="2"/>
    </row>
    <row r="53" spans="1:4" x14ac:dyDescent="0.25">
      <c r="A53" s="216" t="s">
        <v>114</v>
      </c>
      <c r="B53" s="211">
        <v>0</v>
      </c>
      <c r="C53" s="226" t="str">
        <f>"previous "&amp;Financial_Year</f>
        <v>previous 2018</v>
      </c>
      <c r="D53" s="2"/>
    </row>
    <row r="54" spans="1:4" x14ac:dyDescent="0.25">
      <c r="A54" s="214" t="s">
        <v>115</v>
      </c>
      <c r="B54" s="211">
        <v>0</v>
      </c>
      <c r="C54" s="219"/>
      <c r="D54" s="2"/>
    </row>
    <row r="55" spans="1:4" x14ac:dyDescent="0.25">
      <c r="A55" s="214" t="s">
        <v>116</v>
      </c>
      <c r="B55" s="211">
        <v>0</v>
      </c>
      <c r="C55" s="219"/>
      <c r="D55" s="2"/>
    </row>
    <row r="56" spans="1:4" x14ac:dyDescent="0.25">
      <c r="A56" s="214" t="s">
        <v>117</v>
      </c>
      <c r="B56" s="211">
        <v>0</v>
      </c>
      <c r="C56" s="219"/>
      <c r="D56" s="2"/>
    </row>
    <row r="57" spans="1:4" x14ac:dyDescent="0.25">
      <c r="A57" s="214" t="s">
        <v>118</v>
      </c>
      <c r="B57" s="211">
        <v>0</v>
      </c>
      <c r="C57" s="219"/>
      <c r="D57" s="2"/>
    </row>
    <row r="58" spans="1:4" x14ac:dyDescent="0.25">
      <c r="A58" s="214" t="s">
        <v>119</v>
      </c>
      <c r="B58" s="211">
        <v>0</v>
      </c>
      <c r="C58" s="219"/>
      <c r="D58" s="2"/>
    </row>
    <row r="59" spans="1:4" x14ac:dyDescent="0.25">
      <c r="A59" s="216" t="s">
        <v>20</v>
      </c>
      <c r="B59" s="211">
        <v>0</v>
      </c>
      <c r="C59" s="219"/>
      <c r="D59" s="2"/>
    </row>
    <row r="60" spans="1:4" x14ac:dyDescent="0.25">
      <c r="A60" s="216" t="s">
        <v>8</v>
      </c>
      <c r="B60" s="111">
        <v>0.24696499705314637</v>
      </c>
      <c r="C60" s="219"/>
      <c r="D60" s="2"/>
    </row>
    <row r="61" spans="1:4" x14ac:dyDescent="0.25">
      <c r="A61" s="216" t="s">
        <v>7</v>
      </c>
      <c r="B61" s="111">
        <v>0.12</v>
      </c>
      <c r="C61" s="219"/>
      <c r="D61" s="2"/>
    </row>
    <row r="62" spans="1:4" x14ac:dyDescent="0.25">
      <c r="A62" s="216" t="s">
        <v>98</v>
      </c>
      <c r="B62" s="111">
        <v>0.05</v>
      </c>
      <c r="C62" s="219"/>
      <c r="D62" s="2"/>
    </row>
    <row r="63" spans="1:4" x14ac:dyDescent="0.25">
      <c r="A63" s="216" t="s">
        <v>99</v>
      </c>
      <c r="B63" s="111">
        <v>0.04</v>
      </c>
      <c r="C63" s="219"/>
      <c r="D63" s="2"/>
    </row>
    <row r="64" spans="1:4" x14ac:dyDescent="0.25">
      <c r="A64" s="216" t="s">
        <v>5</v>
      </c>
      <c r="B64" s="137">
        <v>10</v>
      </c>
      <c r="C64" s="219"/>
      <c r="D64" s="2"/>
    </row>
    <row r="65" spans="1:4" x14ac:dyDescent="0.25">
      <c r="A65" s="117" t="s">
        <v>139</v>
      </c>
      <c r="B65" s="111">
        <v>0</v>
      </c>
      <c r="C65" s="219"/>
      <c r="D65" s="2"/>
    </row>
    <row r="66" spans="1:4" x14ac:dyDescent="0.25">
      <c r="A66" s="216" t="s">
        <v>140</v>
      </c>
      <c r="B66" s="211">
        <v>0</v>
      </c>
      <c r="C66" s="219"/>
      <c r="D66" s="2"/>
    </row>
    <row r="67" spans="1:4" x14ac:dyDescent="0.25">
      <c r="A67" s="216" t="s">
        <v>161</v>
      </c>
      <c r="B67" s="211">
        <v>0</v>
      </c>
      <c r="C67" s="219"/>
      <c r="D67" s="2"/>
    </row>
    <row r="68" spans="1:4" x14ac:dyDescent="0.25">
      <c r="A68" s="216" t="s">
        <v>141</v>
      </c>
      <c r="B68" s="211">
        <v>0</v>
      </c>
      <c r="C68" s="219"/>
      <c r="D68" s="2"/>
    </row>
    <row r="69" spans="1:4" x14ac:dyDescent="0.25">
      <c r="A69" s="217" t="s">
        <v>146</v>
      </c>
      <c r="B69" s="211">
        <v>0</v>
      </c>
      <c r="C69" s="219"/>
      <c r="D69" s="2"/>
    </row>
    <row r="70" spans="1:4" x14ac:dyDescent="0.25">
      <c r="A70" s="217" t="s">
        <v>147</v>
      </c>
      <c r="B70" s="211">
        <v>0</v>
      </c>
      <c r="C70" s="219"/>
      <c r="D70" s="2"/>
    </row>
    <row r="71" spans="1:4" x14ac:dyDescent="0.25">
      <c r="A71" s="217" t="s">
        <v>148</v>
      </c>
      <c r="B71" s="211">
        <v>0</v>
      </c>
      <c r="C71" s="219"/>
      <c r="D71" s="2"/>
    </row>
    <row r="72" spans="1:4" x14ac:dyDescent="0.25">
      <c r="A72" s="117" t="s">
        <v>151</v>
      </c>
      <c r="B72" s="211">
        <v>0</v>
      </c>
      <c r="C72" s="219"/>
      <c r="D72" s="2"/>
    </row>
    <row r="73" spans="1:4" x14ac:dyDescent="0.25">
      <c r="A73" s="117" t="s">
        <v>155</v>
      </c>
      <c r="B73" s="211">
        <v>0</v>
      </c>
      <c r="C73" s="219"/>
      <c r="D73" s="2"/>
    </row>
    <row r="74" spans="1:4" x14ac:dyDescent="0.25">
      <c r="A74" s="217" t="s">
        <v>165</v>
      </c>
      <c r="B74" s="211">
        <v>0</v>
      </c>
      <c r="C74" s="219"/>
      <c r="D74" s="2"/>
    </row>
    <row r="75" spans="1:4" x14ac:dyDescent="0.25">
      <c r="A75" s="217" t="s">
        <v>157</v>
      </c>
      <c r="B75" s="211">
        <v>0</v>
      </c>
      <c r="C75" s="219"/>
      <c r="D75" s="2"/>
    </row>
    <row r="76" spans="1:4" x14ac:dyDescent="0.25">
      <c r="A76" s="217" t="s">
        <v>167</v>
      </c>
      <c r="B76" s="211">
        <v>0</v>
      </c>
      <c r="C76" s="219"/>
      <c r="D76" s="2"/>
    </row>
    <row r="77" spans="1:4" ht="16.5" thickBot="1" x14ac:dyDescent="0.3">
      <c r="A77" s="218" t="s">
        <v>172</v>
      </c>
      <c r="B77" s="241">
        <v>0.1</v>
      </c>
      <c r="C77" s="227"/>
      <c r="D77" s="2"/>
    </row>
    <row r="78" spans="1:4" x14ac:dyDescent="0.25">
      <c r="A78" s="2"/>
      <c r="B78" s="2"/>
      <c r="C78" s="2"/>
      <c r="D78" s="2"/>
    </row>
    <row r="79" spans="1:4" x14ac:dyDescent="0.25">
      <c r="A79" s="2"/>
      <c r="B79" s="2"/>
      <c r="C79" s="2"/>
      <c r="D79" s="2"/>
    </row>
    <row r="80" spans="1:4" x14ac:dyDescent="0.25">
      <c r="A80" s="2"/>
      <c r="B80" s="2"/>
      <c r="C80" s="2"/>
      <c r="D80" s="2"/>
    </row>
    <row r="81" spans="1:4" x14ac:dyDescent="0.25">
      <c r="A81" s="2"/>
      <c r="B81" s="2"/>
      <c r="C81" s="2"/>
      <c r="D81" s="2"/>
    </row>
    <row r="82" spans="1:4" x14ac:dyDescent="0.25">
      <c r="A82" s="2"/>
      <c r="B82" s="2"/>
      <c r="C82" s="2"/>
      <c r="D8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A1:Q52"/>
  <sheetViews>
    <sheetView workbookViewId="0"/>
  </sheetViews>
  <sheetFormatPr defaultColWidth="11" defaultRowHeight="15.75" x14ac:dyDescent="0.25"/>
  <cols>
    <col min="2" max="2" width="9.75" customWidth="1"/>
    <col min="3" max="3" width="13.375" customWidth="1"/>
    <col min="4" max="4" width="12.125" customWidth="1"/>
    <col min="5" max="5" width="13.625" customWidth="1"/>
    <col min="6" max="6" width="12.625" customWidth="1"/>
    <col min="7" max="7" width="12" customWidth="1"/>
    <col min="8" max="8" width="11.75" customWidth="1"/>
    <col min="9" max="9" width="12.75" customWidth="1"/>
    <col min="10" max="10" width="7.75" customWidth="1"/>
    <col min="11" max="11" width="11.75" customWidth="1"/>
    <col min="13" max="13" width="13.125" bestFit="1" customWidth="1"/>
    <col min="16" max="16" width="19.375" bestFit="1" customWidth="1"/>
  </cols>
  <sheetData>
    <row r="1" spans="1:16" ht="18.75" x14ac:dyDescent="0.3">
      <c r="A1" s="14" t="s">
        <v>73</v>
      </c>
      <c r="B1" s="11"/>
      <c r="C1" s="11"/>
      <c r="D1" s="11"/>
      <c r="E1" s="2"/>
      <c r="F1" s="2"/>
      <c r="G1" s="2"/>
      <c r="H1" s="2"/>
      <c r="I1" s="2"/>
      <c r="J1" s="2"/>
      <c r="K1" s="2"/>
      <c r="L1" s="2"/>
      <c r="M1" s="2"/>
      <c r="N1" s="2"/>
      <c r="O1" s="140" t="str">
        <f>"Taco-Bout It Projected Cash Flows " &amp;DCF!$E$4&amp;"-"&amp;DCF!$I$4</f>
        <v>Taco-Bout It Projected Cash Flows 2019-2023</v>
      </c>
    </row>
    <row r="2" spans="1:16" ht="16.5" thickBo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87" t="str">
        <f>"Discount Rate "&amp;B23*100&amp;"%"</f>
        <v>Discount Rate 10.8%</v>
      </c>
    </row>
    <row r="3" spans="1:16" ht="16.5" thickBot="1" x14ac:dyDescent="0.3">
      <c r="A3" s="148" t="s">
        <v>69</v>
      </c>
      <c r="B3" s="146"/>
      <c r="C3" s="147"/>
      <c r="D3" s="149" t="s">
        <v>102</v>
      </c>
      <c r="E3" s="261" t="s">
        <v>101</v>
      </c>
      <c r="F3" s="261"/>
      <c r="G3" s="261"/>
      <c r="H3" s="261"/>
      <c r="I3" s="262"/>
      <c r="J3" s="17"/>
      <c r="K3" s="17"/>
      <c r="L3" s="17"/>
      <c r="M3" s="17"/>
      <c r="N3" s="2"/>
      <c r="O3" s="141" t="str">
        <f>"Discount Rate "&amp;B24*100&amp;"%"</f>
        <v>Discount Rate 12%</v>
      </c>
    </row>
    <row r="4" spans="1:16" ht="16.5" thickBot="1" x14ac:dyDescent="0.3">
      <c r="A4" s="145"/>
      <c r="B4" s="145" t="s">
        <v>138</v>
      </c>
      <c r="C4" s="145"/>
      <c r="D4" s="143">
        <f>Financial_Year</f>
        <v>2018</v>
      </c>
      <c r="E4" s="144">
        <f>D4+1</f>
        <v>2019</v>
      </c>
      <c r="F4" s="144">
        <f t="shared" ref="F4:H4" si="0">E4+1</f>
        <v>2020</v>
      </c>
      <c r="G4" s="144">
        <f t="shared" si="0"/>
        <v>2021</v>
      </c>
      <c r="H4" s="144">
        <f t="shared" si="0"/>
        <v>2022</v>
      </c>
      <c r="I4" s="144">
        <f>H4+1</f>
        <v>2023</v>
      </c>
      <c r="J4" s="17"/>
      <c r="K4" s="101" t="s">
        <v>71</v>
      </c>
      <c r="L4" s="102"/>
      <c r="M4" s="103"/>
      <c r="N4" s="2"/>
      <c r="O4" s="141" t="str">
        <f>"Discount Rate "&amp;B25*100&amp;"%"</f>
        <v>Discount Rate 13.2%</v>
      </c>
    </row>
    <row r="5" spans="1:16" x14ac:dyDescent="0.25">
      <c r="A5" s="20" t="s">
        <v>2</v>
      </c>
      <c r="B5" s="17"/>
      <c r="C5" s="17"/>
      <c r="D5" s="83">
        <f>EBIT</f>
        <v>379290</v>
      </c>
      <c r="E5" s="83">
        <f>D5*(1+Annual_Growth_Rate)</f>
        <v>398254.5</v>
      </c>
      <c r="F5" s="83">
        <f>E5*(1+Annual_Growth_Rate)</f>
        <v>418167.22500000003</v>
      </c>
      <c r="G5" s="83">
        <f>F5*(1+Annual_Growth_Rate)</f>
        <v>439075.58625000005</v>
      </c>
      <c r="H5" s="83">
        <f>G5*(1+Annual_Growth_Rate)</f>
        <v>461029.36556250008</v>
      </c>
      <c r="I5" s="83">
        <f>H5*(1+Annual_Growth_Rate)</f>
        <v>484080.83384062513</v>
      </c>
      <c r="J5" s="17"/>
      <c r="K5" s="104" t="s">
        <v>8</v>
      </c>
      <c r="L5" s="105"/>
      <c r="M5" s="106">
        <f>Tax_Rate</f>
        <v>0.24696499705314637</v>
      </c>
      <c r="N5" s="2"/>
      <c r="O5" s="141" t="str">
        <f>"Perpetual Growth Rate "&amp;C22*100&amp;"%"</f>
        <v>Perpetual Growth Rate 3.6%</v>
      </c>
    </row>
    <row r="6" spans="1:16" x14ac:dyDescent="0.25">
      <c r="A6" s="20" t="s">
        <v>31</v>
      </c>
      <c r="B6" s="17"/>
      <c r="C6" s="17"/>
      <c r="D6" s="113">
        <f>Amortization</f>
        <v>0</v>
      </c>
      <c r="E6" s="113">
        <f>Amortization_Y1</f>
        <v>0</v>
      </c>
      <c r="F6" s="113">
        <f>Amortization_Y2</f>
        <v>0</v>
      </c>
      <c r="G6" s="113">
        <f>Amortization_Y3</f>
        <v>0</v>
      </c>
      <c r="H6" s="113">
        <f>Amortization_Y4</f>
        <v>0</v>
      </c>
      <c r="I6" s="113">
        <f>Amortization_Y5</f>
        <v>0</v>
      </c>
      <c r="J6" s="17"/>
      <c r="K6" s="104" t="s">
        <v>7</v>
      </c>
      <c r="L6" s="105"/>
      <c r="M6" s="106">
        <f>Discount_Rate</f>
        <v>0.12</v>
      </c>
      <c r="N6" s="2"/>
      <c r="O6" s="141" t="str">
        <f>"Perpetual Growth Rate "&amp;E22*100&amp;"%"</f>
        <v>Perpetual Growth Rate 4%</v>
      </c>
    </row>
    <row r="7" spans="1:16" x14ac:dyDescent="0.25">
      <c r="A7" s="21" t="s">
        <v>32</v>
      </c>
      <c r="B7" s="17"/>
      <c r="C7" s="17"/>
      <c r="D7" s="83">
        <f>D5+D6</f>
        <v>379290</v>
      </c>
      <c r="E7" s="83">
        <f t="shared" ref="E7:I7" si="1">E5+E6</f>
        <v>398254.5</v>
      </c>
      <c r="F7" s="83">
        <f t="shared" si="1"/>
        <v>418167.22500000003</v>
      </c>
      <c r="G7" s="83">
        <f t="shared" si="1"/>
        <v>439075.58625000005</v>
      </c>
      <c r="H7" s="83">
        <f t="shared" si="1"/>
        <v>461029.36556250008</v>
      </c>
      <c r="I7" s="83">
        <f t="shared" si="1"/>
        <v>484080.83384062513</v>
      </c>
      <c r="J7" s="17"/>
      <c r="K7" s="104" t="s">
        <v>75</v>
      </c>
      <c r="L7" s="105"/>
      <c r="M7" s="106">
        <f>Annual_Growth_Rate</f>
        <v>0.05</v>
      </c>
      <c r="N7" s="2"/>
      <c r="O7" s="141" t="str">
        <f>"Perpetual Growth Rate "&amp;G22*100&amp;"%"</f>
        <v>Perpetual Growth Rate 4.4%</v>
      </c>
    </row>
    <row r="8" spans="1:16" x14ac:dyDescent="0.25">
      <c r="A8" s="23" t="s">
        <v>33</v>
      </c>
      <c r="B8" s="17"/>
      <c r="C8" s="17"/>
      <c r="D8" s="83">
        <f t="shared" ref="D8:I8" si="2">-(D7*Tax_Rate)</f>
        <v>-93671.353732287884</v>
      </c>
      <c r="E8" s="83">
        <f t="shared" si="2"/>
        <v>-98354.921418902275</v>
      </c>
      <c r="F8" s="83">
        <f t="shared" si="2"/>
        <v>-103272.6674898474</v>
      </c>
      <c r="G8" s="83">
        <f t="shared" si="2"/>
        <v>-108436.30086433978</v>
      </c>
      <c r="H8" s="83">
        <f t="shared" si="2"/>
        <v>-113858.11590755677</v>
      </c>
      <c r="I8" s="83">
        <f t="shared" si="2"/>
        <v>-119551.02170293462</v>
      </c>
      <c r="J8" s="17"/>
      <c r="K8" s="104" t="s">
        <v>6</v>
      </c>
      <c r="L8" s="105"/>
      <c r="M8" s="106">
        <f>Perpetural_Growth_Rate</f>
        <v>0.04</v>
      </c>
      <c r="N8" s="2"/>
      <c r="O8" s="142"/>
    </row>
    <row r="9" spans="1:16" x14ac:dyDescent="0.25">
      <c r="A9" s="24" t="s">
        <v>34</v>
      </c>
      <c r="B9" s="17"/>
      <c r="C9" s="17"/>
      <c r="D9" s="83">
        <f>SUM(D7:D8)</f>
        <v>285618.64626771212</v>
      </c>
      <c r="E9" s="83">
        <f t="shared" ref="E9:I9" si="3">SUM(E7:E8)</f>
        <v>299899.57858109771</v>
      </c>
      <c r="F9" s="83">
        <f t="shared" si="3"/>
        <v>314894.55751015263</v>
      </c>
      <c r="G9" s="83">
        <f t="shared" si="3"/>
        <v>330639.28538566025</v>
      </c>
      <c r="H9" s="83">
        <f t="shared" si="3"/>
        <v>347171.2496549433</v>
      </c>
      <c r="I9" s="83">
        <f t="shared" si="3"/>
        <v>364529.81213769049</v>
      </c>
      <c r="J9" s="17"/>
      <c r="K9" s="104" t="s">
        <v>5</v>
      </c>
      <c r="L9" s="105"/>
      <c r="M9" s="243">
        <f>EV_EBITDA_Multiple</f>
        <v>10</v>
      </c>
      <c r="N9" s="2"/>
      <c r="O9" s="142"/>
    </row>
    <row r="10" spans="1:16" x14ac:dyDescent="0.25">
      <c r="A10" s="20"/>
      <c r="B10" s="17"/>
      <c r="C10" s="17"/>
      <c r="D10" s="83"/>
      <c r="E10" s="83"/>
      <c r="F10" s="83"/>
      <c r="G10" s="83"/>
      <c r="H10" s="83"/>
      <c r="I10" s="83"/>
      <c r="J10" s="17"/>
      <c r="K10" s="104" t="s">
        <v>173</v>
      </c>
      <c r="L10" s="105"/>
      <c r="M10" s="244">
        <f>-(Initial_Investment)</f>
        <v>-500000</v>
      </c>
      <c r="N10" s="2"/>
    </row>
    <row r="11" spans="1:16" ht="16.5" thickBot="1" x14ac:dyDescent="0.3">
      <c r="A11" s="26" t="s">
        <v>1</v>
      </c>
      <c r="B11" s="17"/>
      <c r="C11" s="17"/>
      <c r="D11" s="113">
        <f t="shared" ref="D11" si="4">+Depreciation</f>
        <v>12000</v>
      </c>
      <c r="E11" s="113">
        <f>+Depreciation_Y1</f>
        <v>12000</v>
      </c>
      <c r="F11" s="113">
        <f>+Depreciation_Y2</f>
        <v>12000</v>
      </c>
      <c r="G11" s="113">
        <f>+Depreciation_Y3</f>
        <v>12000</v>
      </c>
      <c r="H11" s="113">
        <f>+Depreciation_Y4</f>
        <v>12000</v>
      </c>
      <c r="I11" s="113">
        <f>+Depreciation_Y5</f>
        <v>12000</v>
      </c>
      <c r="J11" s="17"/>
      <c r="K11" s="107" t="s">
        <v>172</v>
      </c>
      <c r="L11" s="108"/>
      <c r="M11" s="109">
        <f>Reinvestment_Rate</f>
        <v>0.1</v>
      </c>
      <c r="N11" s="2"/>
    </row>
    <row r="12" spans="1:16" x14ac:dyDescent="0.25">
      <c r="A12" s="20" t="s">
        <v>35</v>
      </c>
      <c r="B12" s="17"/>
      <c r="C12" s="17"/>
      <c r="D12" s="138">
        <f>-Capital_Expenditures</f>
        <v>-150000</v>
      </c>
      <c r="E12" s="138">
        <f>-Capex_Y1</f>
        <v>-200000</v>
      </c>
      <c r="F12" s="138">
        <f>-Capex_Y2</f>
        <v>-200000</v>
      </c>
      <c r="G12" s="138">
        <f>-Capex_Y3</f>
        <v>-175000</v>
      </c>
      <c r="H12" s="138">
        <f>-Capex_Y4</f>
        <v>-100000</v>
      </c>
      <c r="I12" s="138">
        <f>-Capex_Y5</f>
        <v>-75000</v>
      </c>
      <c r="J12" s="17"/>
      <c r="K12" s="2"/>
      <c r="L12" s="2"/>
      <c r="M12" s="2"/>
      <c r="N12" s="2"/>
    </row>
    <row r="13" spans="1:16" x14ac:dyDescent="0.25">
      <c r="A13" s="20" t="s">
        <v>36</v>
      </c>
      <c r="B13" s="17"/>
      <c r="C13" s="17"/>
      <c r="D13" s="138">
        <f>NWC_Change</f>
        <v>0</v>
      </c>
      <c r="E13" s="138">
        <f>NWC_Change_Y1</f>
        <v>0</v>
      </c>
      <c r="F13" s="138">
        <f>NWC_Change_Y2</f>
        <v>0</v>
      </c>
      <c r="G13" s="138">
        <f>NWC_Change_Y3</f>
        <v>0</v>
      </c>
      <c r="H13" s="138">
        <f>NWC_Change_Y4</f>
        <v>0</v>
      </c>
      <c r="I13" s="138">
        <f>NWC_Change_Y5</f>
        <v>0</v>
      </c>
      <c r="J13" s="17"/>
      <c r="K13" s="17"/>
      <c r="L13" s="17"/>
      <c r="M13" s="17"/>
      <c r="N13" s="2"/>
    </row>
    <row r="14" spans="1:16" x14ac:dyDescent="0.25">
      <c r="A14" s="24" t="s">
        <v>37</v>
      </c>
      <c r="B14" s="4"/>
      <c r="C14" s="4"/>
      <c r="D14" s="84">
        <f>SUM(D9:D13)</f>
        <v>147618.64626771212</v>
      </c>
      <c r="E14" s="84">
        <f t="shared" ref="E14:I14" si="5">SUM(E9:E13)</f>
        <v>111899.57858109771</v>
      </c>
      <c r="F14" s="84">
        <f t="shared" si="5"/>
        <v>126894.55751015263</v>
      </c>
      <c r="G14" s="84">
        <f t="shared" si="5"/>
        <v>167639.28538566025</v>
      </c>
      <c r="H14" s="84">
        <f t="shared" si="5"/>
        <v>259171.2496549433</v>
      </c>
      <c r="I14" s="84">
        <f t="shared" si="5"/>
        <v>301529.81213769049</v>
      </c>
      <c r="J14" s="17"/>
      <c r="K14" s="17"/>
      <c r="L14" s="17"/>
      <c r="M14" s="17"/>
      <c r="N14" s="2"/>
    </row>
    <row r="15" spans="1:16" x14ac:dyDescent="0.25">
      <c r="A15" s="17"/>
      <c r="B15" s="17"/>
      <c r="C15" s="17"/>
      <c r="D15" s="242">
        <f>M10</f>
        <v>-500000</v>
      </c>
      <c r="E15" s="242">
        <f>E14</f>
        <v>111899.57858109771</v>
      </c>
      <c r="F15" s="242">
        <f>F14</f>
        <v>126894.55751015263</v>
      </c>
      <c r="G15" s="242">
        <f>G14</f>
        <v>167639.28538566025</v>
      </c>
      <c r="H15" s="242">
        <f>H14</f>
        <v>259171.2496549433</v>
      </c>
      <c r="I15" s="242">
        <f>I14</f>
        <v>301529.81213769049</v>
      </c>
      <c r="J15" s="17"/>
      <c r="K15" s="27" t="s">
        <v>77</v>
      </c>
      <c r="L15" s="17"/>
      <c r="M15" s="17"/>
      <c r="N15" s="2"/>
      <c r="P15" s="74"/>
    </row>
    <row r="16" spans="1:16" x14ac:dyDescent="0.25">
      <c r="A16" s="181" t="s">
        <v>76</v>
      </c>
      <c r="B16" s="181"/>
      <c r="C16" s="181"/>
      <c r="D16" s="182"/>
      <c r="E16" s="182">
        <f>E14/(1+Discount_Rate)^(E4-$D$4)</f>
        <v>99910.338018837225</v>
      </c>
      <c r="F16" s="182">
        <f>F14/(1+Discount_Rate)^(F4-$D$4)</f>
        <v>101159.56434163952</v>
      </c>
      <c r="G16" s="182">
        <f>G14/(1+Discount_Rate)^(G4-$D$4)</f>
        <v>119322.33209506836</v>
      </c>
      <c r="H16" s="182">
        <f>H14/(1+Discount_Rate)^(H4-$D$4)</f>
        <v>164708.01455848833</v>
      </c>
      <c r="I16" s="182">
        <f>I14/(1+Discount_Rate)^(I4-$D$4)</f>
        <v>171096.11320670962</v>
      </c>
      <c r="J16" s="183" t="s">
        <v>86</v>
      </c>
      <c r="K16" s="184">
        <f>SUM(E16:I16)</f>
        <v>656196.36222074297</v>
      </c>
      <c r="L16" s="3" t="s">
        <v>87</v>
      </c>
      <c r="M16" s="17"/>
      <c r="N16" s="2"/>
      <c r="P16" s="73"/>
    </row>
    <row r="17" spans="1:17" x14ac:dyDescent="0.25">
      <c r="A17" s="17"/>
      <c r="B17" s="17"/>
      <c r="C17" s="17"/>
      <c r="D17" s="17"/>
      <c r="E17" s="28"/>
      <c r="F17" s="22"/>
      <c r="G17" s="17"/>
      <c r="H17" s="17"/>
      <c r="I17" s="17"/>
      <c r="J17" s="17"/>
      <c r="K17" s="17"/>
      <c r="L17" s="17"/>
      <c r="M17" s="17"/>
      <c r="N17" s="2"/>
    </row>
    <row r="18" spans="1:17" x14ac:dyDescent="0.25">
      <c r="A18" s="29" t="s">
        <v>70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2"/>
      <c r="P18" s="73"/>
    </row>
    <row r="19" spans="1:17" ht="16.5" thickBot="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2"/>
      <c r="P19" s="73"/>
    </row>
    <row r="20" spans="1:17" x14ac:dyDescent="0.25">
      <c r="A20" s="255" t="s">
        <v>38</v>
      </c>
      <c r="B20" s="256"/>
      <c r="C20" s="256"/>
      <c r="D20" s="256"/>
      <c r="E20" s="256"/>
      <c r="F20" s="256"/>
      <c r="G20" s="257"/>
      <c r="H20" s="2"/>
      <c r="I20" s="2"/>
      <c r="J20" s="2"/>
      <c r="K20" s="114" t="s">
        <v>121</v>
      </c>
      <c r="L20" s="115"/>
      <c r="M20" s="116"/>
      <c r="N20" s="2"/>
      <c r="Q20" s="1"/>
    </row>
    <row r="21" spans="1:17" ht="18.75" x14ac:dyDescent="0.3">
      <c r="A21" s="258" t="s">
        <v>43</v>
      </c>
      <c r="B21" s="259"/>
      <c r="C21" s="259"/>
      <c r="D21" s="259"/>
      <c r="E21" s="259"/>
      <c r="F21" s="259"/>
      <c r="G21" s="260"/>
      <c r="H21" s="2"/>
      <c r="I21" s="2"/>
      <c r="J21" s="2"/>
      <c r="K21" s="117" t="s">
        <v>79</v>
      </c>
      <c r="L21" s="7"/>
      <c r="M21" s="185">
        <f>$E$24</f>
        <v>2880445.8339079684</v>
      </c>
      <c r="N21" s="2"/>
      <c r="P21" s="75"/>
    </row>
    <row r="22" spans="1:17" ht="18.75" x14ac:dyDescent="0.3">
      <c r="A22" s="30"/>
      <c r="B22" s="31"/>
      <c r="C22" s="32">
        <f>Perpetural_Growth_Rate*0.9</f>
        <v>3.6000000000000004E-2</v>
      </c>
      <c r="D22" s="33"/>
      <c r="E22" s="32">
        <f>Perpetural_Growth_Rate</f>
        <v>0.04</v>
      </c>
      <c r="F22" s="33"/>
      <c r="G22" s="34">
        <f>Perpetural_Growth_Rate*1.1</f>
        <v>4.4000000000000004E-2</v>
      </c>
      <c r="H22" s="2"/>
      <c r="I22" s="2"/>
      <c r="J22" s="2"/>
      <c r="K22" s="117" t="s">
        <v>80</v>
      </c>
      <c r="L22" s="7"/>
      <c r="M22" s="185">
        <f>$E$42</f>
        <v>3403001.0168189788</v>
      </c>
      <c r="N22" s="2"/>
    </row>
    <row r="23" spans="1:17" ht="19.5" thickBot="1" x14ac:dyDescent="0.35">
      <c r="A23" s="35" t="s">
        <v>39</v>
      </c>
      <c r="B23" s="32">
        <f>Discount_Rate*0.9</f>
        <v>0.108</v>
      </c>
      <c r="C23" s="61">
        <f>NPV($B23,$E$14:$H$14,$I$14+$I$14*(1+C$22)/($B23-C$22))</f>
        <v>3278237.695371063</v>
      </c>
      <c r="D23" s="62"/>
      <c r="E23" s="63">
        <f t="shared" ref="E23:G25" si="6">NPV($B23,$E$14:$H$14,$I$14+$I$14*(1+E$22)/($B23-E$22))</f>
        <v>3441689.5293089189</v>
      </c>
      <c r="F23" s="62"/>
      <c r="G23" s="64">
        <f t="shared" si="6"/>
        <v>3625572.8424890069</v>
      </c>
      <c r="H23" s="2"/>
      <c r="I23" s="2"/>
      <c r="J23" s="2"/>
      <c r="K23" s="118" t="s">
        <v>3</v>
      </c>
      <c r="L23" s="119"/>
      <c r="M23" s="186">
        <f>AVERAGE(M21:M22)</f>
        <v>3141723.4253634736</v>
      </c>
      <c r="N23" s="2"/>
    </row>
    <row r="24" spans="1:17" ht="16.5" thickBot="1" x14ac:dyDescent="0.3">
      <c r="A24" s="35" t="s">
        <v>40</v>
      </c>
      <c r="B24" s="32">
        <f>Discount_Rate</f>
        <v>0.12</v>
      </c>
      <c r="C24" s="65">
        <f>NPV($B24,$E$14:$H$14,$I$14+$I$14*(1+C$22)/($B24-C$22))</f>
        <v>2766381.7584368279</v>
      </c>
      <c r="D24" s="66"/>
      <c r="E24" s="67">
        <f>NPV($B24,$E$14:$H$14,$I$14+$I$14*(1+E$22)/($B24-E$22))</f>
        <v>2880445.8339079684</v>
      </c>
      <c r="F24" s="66"/>
      <c r="G24" s="68">
        <f t="shared" si="6"/>
        <v>3006516.6541655436</v>
      </c>
      <c r="H24" s="2"/>
      <c r="I24" s="2"/>
      <c r="J24" s="2"/>
      <c r="K24" s="2"/>
      <c r="L24" s="2"/>
      <c r="M24" s="2"/>
      <c r="N24" s="2"/>
    </row>
    <row r="25" spans="1:17" ht="16.5" thickBot="1" x14ac:dyDescent="0.3">
      <c r="A25" s="36" t="s">
        <v>41</v>
      </c>
      <c r="B25" s="37">
        <f>Discount_Rate*1.1</f>
        <v>0.13200000000000001</v>
      </c>
      <c r="C25" s="69">
        <f t="shared" ref="C25" si="7">NPV($B25,$E$14:$H$14,$I$14+$I$14*(1+C$22)/($B25-C$22))</f>
        <v>2384095.8705647672</v>
      </c>
      <c r="D25" s="70"/>
      <c r="E25" s="71">
        <f t="shared" si="6"/>
        <v>2467261.8067495436</v>
      </c>
      <c r="F25" s="70"/>
      <c r="G25" s="72">
        <f t="shared" si="6"/>
        <v>2557988.2825874817</v>
      </c>
      <c r="H25" s="2"/>
      <c r="I25" s="2"/>
      <c r="J25" s="2"/>
      <c r="K25" s="77" t="s">
        <v>4</v>
      </c>
      <c r="L25" s="18"/>
      <c r="M25" s="246">
        <f>$I$14*(1+Perpetural_Growth_Rate)/(Discount_Rate-Perpetural_Growth_Rate)</f>
        <v>3919887.5577899772</v>
      </c>
      <c r="N25" s="2"/>
      <c r="P25" s="73"/>
    </row>
    <row r="26" spans="1:17" ht="16.5" thickBot="1" x14ac:dyDescent="0.3">
      <c r="A26" s="38"/>
      <c r="B26" s="38"/>
      <c r="C26" s="38"/>
      <c r="D26" s="38"/>
      <c r="E26" s="38"/>
      <c r="F26" s="38"/>
      <c r="G26" s="38"/>
      <c r="H26" s="2"/>
      <c r="I26" s="2"/>
      <c r="J26" s="2"/>
      <c r="K26" s="217" t="s">
        <v>174</v>
      </c>
      <c r="L26" s="7"/>
      <c r="M26" s="247">
        <f>IRR(D15:I15)</f>
        <v>0.21833115533205749</v>
      </c>
      <c r="N26" s="2"/>
    </row>
    <row r="27" spans="1:17" ht="16.5" thickBot="1" x14ac:dyDescent="0.3">
      <c r="A27" s="39"/>
      <c r="B27" s="40"/>
      <c r="C27" s="41" t="s">
        <v>44</v>
      </c>
      <c r="D27" s="40"/>
      <c r="E27" s="40"/>
      <c r="F27" s="40"/>
      <c r="G27" s="42"/>
      <c r="H27" s="2"/>
      <c r="I27" s="2"/>
      <c r="J27" s="2"/>
      <c r="K27" s="218" t="s">
        <v>175</v>
      </c>
      <c r="L27" s="119"/>
      <c r="M27" s="248">
        <f>MIRR(D15:I15,M6,M11)</f>
        <v>0.17549103329897675</v>
      </c>
      <c r="N27" s="2"/>
    </row>
    <row r="28" spans="1:17" x14ac:dyDescent="0.25">
      <c r="A28" s="30"/>
      <c r="B28" s="31"/>
      <c r="C28" s="43" t="str">
        <f>A21</f>
        <v>Terminal Perpetuity Growth Rate</v>
      </c>
      <c r="D28" s="43"/>
      <c r="E28" s="43"/>
      <c r="F28" s="43"/>
      <c r="G28" s="44"/>
      <c r="H28" s="2"/>
      <c r="I28" s="2"/>
      <c r="J28" s="2"/>
      <c r="K28" s="2"/>
      <c r="L28" s="2"/>
      <c r="M28" s="2"/>
      <c r="N28" s="2"/>
    </row>
    <row r="29" spans="1:17" x14ac:dyDescent="0.25">
      <c r="A29" s="30"/>
      <c r="B29" s="126"/>
      <c r="C29" s="127">
        <f>Perpetural_Growth_Rate*0.9</f>
        <v>3.6000000000000004E-2</v>
      </c>
      <c r="D29" s="128"/>
      <c r="E29" s="127">
        <f>Perpetural_Growth_Rate</f>
        <v>0.04</v>
      </c>
      <c r="F29" s="128"/>
      <c r="G29" s="130">
        <f>Perpetural_Growth_Rate*1.1</f>
        <v>4.4000000000000004E-2</v>
      </c>
      <c r="H29" s="2"/>
      <c r="I29" s="2"/>
      <c r="J29" s="2"/>
      <c r="K29" s="2"/>
      <c r="L29" s="2"/>
      <c r="M29" s="2"/>
      <c r="N29" s="2"/>
    </row>
    <row r="30" spans="1:17" x14ac:dyDescent="0.25">
      <c r="A30" s="35" t="s">
        <v>39</v>
      </c>
      <c r="B30" s="129">
        <f>Discount_Rate*0.9</f>
        <v>0.108</v>
      </c>
      <c r="C30" s="121">
        <f>$I$14*(1+C$29)/($B30-C$29)/$I$5</f>
        <v>8.9627158528759292</v>
      </c>
      <c r="D30" s="122"/>
      <c r="E30" s="123">
        <f t="shared" ref="E30:G32" si="8">$I$14*(1+E$29)/($B30-E$29)/$I$5</f>
        <v>9.5265751059412533</v>
      </c>
      <c r="F30" s="124"/>
      <c r="G30" s="131">
        <f t="shared" si="8"/>
        <v>10.160916765639746</v>
      </c>
      <c r="H30" s="2"/>
      <c r="I30" s="2"/>
      <c r="J30" s="2"/>
      <c r="K30" s="2"/>
      <c r="L30" s="2"/>
      <c r="M30" s="2"/>
      <c r="N30" s="2"/>
    </row>
    <row r="31" spans="1:17" x14ac:dyDescent="0.25">
      <c r="A31" s="35" t="s">
        <v>40</v>
      </c>
      <c r="B31" s="129">
        <f>Discount_Rate</f>
        <v>0.12</v>
      </c>
      <c r="C31" s="125">
        <f t="shared" ref="C31:C32" si="9">$I$14*(1+C$29)/($B31-C$29)/$I$5</f>
        <v>7.6823278738936525</v>
      </c>
      <c r="D31" s="46"/>
      <c r="E31" s="45">
        <f t="shared" si="8"/>
        <v>8.0975888400500668</v>
      </c>
      <c r="F31" s="46"/>
      <c r="G31" s="47">
        <f t="shared" si="8"/>
        <v>8.556561486854525</v>
      </c>
      <c r="H31" s="2"/>
      <c r="I31" s="2"/>
      <c r="J31" s="2"/>
      <c r="K31" s="2"/>
      <c r="L31" s="2"/>
      <c r="M31" s="2"/>
      <c r="N31" s="2"/>
    </row>
    <row r="32" spans="1:17" ht="16.5" thickBot="1" x14ac:dyDescent="0.3">
      <c r="A32" s="36" t="s">
        <v>41</v>
      </c>
      <c r="B32" s="132">
        <f>Discount_Rate*1.1</f>
        <v>0.13200000000000001</v>
      </c>
      <c r="C32" s="133">
        <f t="shared" si="9"/>
        <v>6.7220368896569456</v>
      </c>
      <c r="D32" s="49"/>
      <c r="E32" s="48">
        <f t="shared" si="8"/>
        <v>7.0413816000435361</v>
      </c>
      <c r="F32" s="49"/>
      <c r="G32" s="25">
        <f t="shared" si="8"/>
        <v>7.3897576477379969</v>
      </c>
      <c r="H32" s="2"/>
      <c r="I32" s="2"/>
      <c r="J32" s="2"/>
      <c r="K32" s="2"/>
      <c r="L32" s="2"/>
      <c r="M32" s="2"/>
      <c r="N32" s="2"/>
    </row>
    <row r="33" spans="1:14" x14ac:dyDescent="0.25">
      <c r="A33" s="17"/>
      <c r="B33" s="17"/>
      <c r="C33" s="17"/>
      <c r="D33" s="17"/>
      <c r="E33" s="17"/>
      <c r="F33" s="17"/>
      <c r="G33" s="17"/>
      <c r="H33" s="2"/>
      <c r="I33" s="2"/>
      <c r="J33" s="2"/>
      <c r="K33" s="2"/>
      <c r="L33" s="2"/>
      <c r="M33" s="2"/>
      <c r="N33" s="2"/>
    </row>
    <row r="34" spans="1:1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5">
      <c r="A36" s="16" t="s">
        <v>72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ht="16.5" thickBo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5">
      <c r="A38" s="255" t="s">
        <v>38</v>
      </c>
      <c r="B38" s="256"/>
      <c r="C38" s="256"/>
      <c r="D38" s="256"/>
      <c r="E38" s="256"/>
      <c r="F38" s="256"/>
      <c r="G38" s="257"/>
      <c r="H38" s="2"/>
      <c r="I38" s="2"/>
      <c r="J38" s="2"/>
      <c r="K38" s="2"/>
      <c r="L38" s="2"/>
      <c r="M38" s="2"/>
      <c r="N38" s="2"/>
    </row>
    <row r="39" spans="1:14" x14ac:dyDescent="0.25">
      <c r="A39" s="258" t="s">
        <v>170</v>
      </c>
      <c r="B39" s="259"/>
      <c r="C39" s="259"/>
      <c r="D39" s="259"/>
      <c r="E39" s="259"/>
      <c r="F39" s="259"/>
      <c r="G39" s="260"/>
      <c r="H39" s="2"/>
      <c r="I39" s="2"/>
      <c r="J39" s="2"/>
      <c r="K39" s="2"/>
      <c r="L39" s="2"/>
      <c r="M39" s="2"/>
      <c r="N39" s="2"/>
    </row>
    <row r="40" spans="1:14" x14ac:dyDescent="0.25">
      <c r="A40" s="30"/>
      <c r="B40" s="31"/>
      <c r="C40" s="50">
        <f>EV_EBITDA_Multiple*0.9</f>
        <v>9</v>
      </c>
      <c r="D40" s="51"/>
      <c r="E40" s="50">
        <f>EV_EBITDA_Multiple</f>
        <v>10</v>
      </c>
      <c r="F40" s="51"/>
      <c r="G40" s="52">
        <f>EV_EBITDA_Multiple*1.1</f>
        <v>11</v>
      </c>
      <c r="H40" s="2"/>
      <c r="I40" s="2"/>
      <c r="J40" s="2"/>
      <c r="K40" s="2"/>
      <c r="L40" s="2"/>
      <c r="M40" s="2"/>
      <c r="N40" s="2"/>
    </row>
    <row r="41" spans="1:14" x14ac:dyDescent="0.25">
      <c r="A41" s="35" t="s">
        <v>39</v>
      </c>
      <c r="B41" s="32">
        <f>Discount_Rate*0.9</f>
        <v>0.108</v>
      </c>
      <c r="C41" s="61">
        <f>NPV($B41,$E$14:$H$14,$I$14+C$40*$I$5)</f>
        <v>3289045.6446795273</v>
      </c>
      <c r="D41" s="62"/>
      <c r="E41" s="63">
        <f>NPV($B41,$E$14:$H$14,$I$14+E$40*$I$5)</f>
        <v>3578926.2009518193</v>
      </c>
      <c r="F41" s="62"/>
      <c r="G41" s="64">
        <f>NPV($B41,$E$14:$H$14,$I$14+G$40*$I$5)</f>
        <v>3868806.7572241114</v>
      </c>
      <c r="H41" s="2"/>
      <c r="I41" s="2"/>
      <c r="J41" s="2"/>
      <c r="K41" s="2"/>
      <c r="L41" s="2"/>
      <c r="M41" s="2"/>
      <c r="N41" s="2"/>
    </row>
    <row r="42" spans="1:14" x14ac:dyDescent="0.25">
      <c r="A42" s="35" t="s">
        <v>40</v>
      </c>
      <c r="B42" s="32">
        <f>Discount_Rate</f>
        <v>0.12</v>
      </c>
      <c r="C42" s="65">
        <f>NPV($B42,$E$14:$H$14,$I$14+C$40*$I$5)</f>
        <v>3128320.5513591552</v>
      </c>
      <c r="D42" s="66"/>
      <c r="E42" s="67">
        <f>NPV($B42,$E$14:$H$14,$I$14+E$40*$I$5)</f>
        <v>3403001.0168189788</v>
      </c>
      <c r="F42" s="66"/>
      <c r="G42" s="68">
        <f>NPV($B42,$E$14:$H$14,$I$14+G$40*$I$5)</f>
        <v>3677681.482278802</v>
      </c>
      <c r="H42" s="2"/>
      <c r="I42" s="2"/>
      <c r="J42" s="2"/>
      <c r="K42" s="2"/>
      <c r="L42" s="2"/>
      <c r="M42" s="2"/>
      <c r="N42" s="2"/>
    </row>
    <row r="43" spans="1:14" ht="16.5" thickBot="1" x14ac:dyDescent="0.3">
      <c r="A43" s="36" t="s">
        <v>41</v>
      </c>
      <c r="B43" s="37">
        <f>Discount_Rate*1.1</f>
        <v>0.13200000000000001</v>
      </c>
      <c r="C43" s="69">
        <f>NPV($B43,$E$14:$H$14,$I$14+C$40*$I$5)</f>
        <v>2977338.6220627441</v>
      </c>
      <c r="D43" s="70"/>
      <c r="E43" s="71">
        <f>NPV($B43,$E$14:$H$14,$I$14+E$40*$I$5)</f>
        <v>3237765.4695408121</v>
      </c>
      <c r="F43" s="70"/>
      <c r="G43" s="72">
        <f>NPV($B43,$E$14:$H$14,$I$14+G$40*$I$5)</f>
        <v>3498192.3170188791</v>
      </c>
      <c r="H43" s="2"/>
      <c r="I43" s="2"/>
      <c r="J43" s="2"/>
      <c r="K43" s="2"/>
      <c r="L43" s="2"/>
      <c r="M43" s="2"/>
      <c r="N43" s="2"/>
    </row>
    <row r="44" spans="1:14" ht="16.5" thickBot="1" x14ac:dyDescent="0.3">
      <c r="A44" s="38"/>
      <c r="B44" s="38"/>
      <c r="C44" s="38"/>
      <c r="D44" s="38"/>
      <c r="E44" s="38"/>
      <c r="F44" s="38"/>
      <c r="G44" s="38"/>
      <c r="H44" s="2"/>
      <c r="I44" s="2"/>
      <c r="J44" s="2"/>
      <c r="K44" s="2"/>
      <c r="L44" s="2"/>
      <c r="M44" s="2"/>
      <c r="N44" s="2"/>
    </row>
    <row r="45" spans="1:14" x14ac:dyDescent="0.25">
      <c r="A45" s="39"/>
      <c r="B45" s="40"/>
      <c r="C45" s="41" t="s">
        <v>42</v>
      </c>
      <c r="D45" s="40"/>
      <c r="E45" s="40"/>
      <c r="F45" s="40"/>
      <c r="G45" s="42"/>
      <c r="H45" s="2"/>
      <c r="I45" s="2"/>
      <c r="J45" s="2"/>
      <c r="K45" s="2"/>
      <c r="L45" s="2"/>
      <c r="M45" s="2"/>
      <c r="N45" s="2"/>
    </row>
    <row r="46" spans="1:14" x14ac:dyDescent="0.25">
      <c r="A46" s="30"/>
      <c r="B46" s="31"/>
      <c r="C46" s="43" t="str">
        <f>A39</f>
        <v>EV/EBITDA Multiple</v>
      </c>
      <c r="D46" s="43"/>
      <c r="E46" s="43"/>
      <c r="F46" s="43"/>
      <c r="G46" s="44"/>
      <c r="H46" s="2"/>
      <c r="I46" s="2"/>
      <c r="J46" s="2"/>
      <c r="K46" s="2"/>
      <c r="L46" s="2"/>
      <c r="M46" s="2"/>
      <c r="N46" s="2"/>
    </row>
    <row r="47" spans="1:14" x14ac:dyDescent="0.25">
      <c r="A47" s="30"/>
      <c r="B47" s="31"/>
      <c r="C47" s="50">
        <f>EV_EBITDA_Multiple*0.9</f>
        <v>9</v>
      </c>
      <c r="D47" s="51"/>
      <c r="E47" s="50">
        <f>EV_EBITDA_Multiple</f>
        <v>10</v>
      </c>
      <c r="F47" s="51"/>
      <c r="G47" s="52">
        <f>EV_EBITDA_Multiple*1.1</f>
        <v>11</v>
      </c>
      <c r="H47" s="2"/>
      <c r="I47" s="2"/>
      <c r="J47" s="2"/>
      <c r="K47" s="2"/>
      <c r="L47" s="2"/>
      <c r="M47" s="2"/>
      <c r="N47" s="2"/>
    </row>
    <row r="48" spans="1:14" x14ac:dyDescent="0.25">
      <c r="A48" s="35" t="s">
        <v>39</v>
      </c>
      <c r="B48" s="32">
        <f>Discount_Rate*0.9</f>
        <v>0.108</v>
      </c>
      <c r="C48" s="53">
        <f>(C$47*$I$5*$B48-$I$14)/(C$47*$I$5+$I$14)</f>
        <v>3.6278965901994739E-2</v>
      </c>
      <c r="D48" s="54"/>
      <c r="E48" s="53">
        <f>(E$47*$I$5*$B48-$I$14)/(E$47*$I$5+$I$14)</f>
        <v>4.3030520734382002E-2</v>
      </c>
      <c r="F48" s="54"/>
      <c r="G48" s="55">
        <f>(G$47*$I$5*$B48-$I$14)/(G$47*$I$5+$I$14)</f>
        <v>4.8620307023739123E-2</v>
      </c>
      <c r="H48" s="2"/>
      <c r="I48" s="2"/>
      <c r="J48" s="2"/>
      <c r="K48" s="2"/>
      <c r="L48" s="2"/>
      <c r="M48" s="2"/>
      <c r="N48" s="2"/>
    </row>
    <row r="49" spans="1:14" x14ac:dyDescent="0.25">
      <c r="A49" s="35" t="s">
        <v>40</v>
      </c>
      <c r="B49" s="32">
        <f>Discount_Rate</f>
        <v>0.12</v>
      </c>
      <c r="C49" s="53">
        <f>(C$47*$I$5*$B49-$I$14)/(C$47*$I$5+$I$14)</f>
        <v>4.7502203799850283E-2</v>
      </c>
      <c r="D49" s="54"/>
      <c r="E49" s="53">
        <f>(E$47*$I$5*$B49-$I$14)/(E$47*$I$5+$I$14)</f>
        <v>5.4326880164718261E-2</v>
      </c>
      <c r="F49" s="54"/>
      <c r="G49" s="56">
        <f>(G$47*$I$5*$B49-$I$14)/(G$47*$I$5+$I$14)</f>
        <v>5.9977205655765177E-2</v>
      </c>
      <c r="H49" s="2"/>
      <c r="I49" s="2"/>
      <c r="J49" s="2"/>
      <c r="K49" s="2"/>
      <c r="L49" s="2"/>
      <c r="M49" s="2"/>
      <c r="N49" s="2"/>
    </row>
    <row r="50" spans="1:14" ht="16.5" thickBot="1" x14ac:dyDescent="0.3">
      <c r="A50" s="36" t="s">
        <v>41</v>
      </c>
      <c r="B50" s="37">
        <f>Discount_Rate*1.1</f>
        <v>0.13200000000000001</v>
      </c>
      <c r="C50" s="57">
        <f>(C$47*$I$5*$B50-$I$14)/(C$47*$I$5+$I$14)</f>
        <v>5.8725441697705827E-2</v>
      </c>
      <c r="D50" s="58"/>
      <c r="E50" s="57">
        <f>(E$47*$I$5*$B50-$I$14)/(E$47*$I$5+$I$14)</f>
        <v>6.5623239595054547E-2</v>
      </c>
      <c r="F50" s="58"/>
      <c r="G50" s="59">
        <f>(G$47*$I$5*$B50-$I$14)/(G$47*$I$5+$I$14)</f>
        <v>7.1334104287791245E-2</v>
      </c>
      <c r="H50" s="2"/>
      <c r="I50" s="2"/>
      <c r="J50" s="2"/>
      <c r="K50" s="2"/>
      <c r="L50" s="2"/>
      <c r="M50" s="2"/>
      <c r="N50" s="2"/>
    </row>
    <row r="51" spans="1:14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</sheetData>
  <mergeCells count="5">
    <mergeCell ref="A20:G20"/>
    <mergeCell ref="A21:G21"/>
    <mergeCell ref="A38:G38"/>
    <mergeCell ref="A39:G39"/>
    <mergeCell ref="E3:I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D48E2-00F9-49DE-807B-900A42C4EF33}">
  <sheetPr codeName="Sheet1">
    <tabColor rgb="FFFFFF00"/>
  </sheetPr>
  <dimension ref="A1:O43"/>
  <sheetViews>
    <sheetView workbookViewId="0"/>
  </sheetViews>
  <sheetFormatPr defaultRowHeight="15.75" x14ac:dyDescent="0.25"/>
  <cols>
    <col min="1" max="1" width="14.125" bestFit="1" customWidth="1"/>
    <col min="2" max="2" width="10.5" bestFit="1" customWidth="1"/>
    <col min="3" max="3" width="12.375" customWidth="1"/>
    <col min="4" max="5" width="10.5" bestFit="1" customWidth="1"/>
    <col min="6" max="6" width="12.375" customWidth="1"/>
    <col min="7" max="11" width="11.5" bestFit="1" customWidth="1"/>
    <col min="12" max="12" width="13" customWidth="1"/>
    <col min="14" max="14" width="14.125" bestFit="1" customWidth="1"/>
    <col min="15" max="15" width="13.75" bestFit="1" customWidth="1"/>
    <col min="16" max="16" width="11.375" bestFit="1" customWidth="1"/>
  </cols>
  <sheetData>
    <row r="1" spans="1:15" ht="18.75" x14ac:dyDescent="0.3">
      <c r="A1" s="14" t="s">
        <v>88</v>
      </c>
      <c r="B1" s="11"/>
      <c r="C1" s="11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88" t="s">
        <v>89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6.5" thickBo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101" t="s">
        <v>71</v>
      </c>
      <c r="B4" s="102"/>
      <c r="C4" s="10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104" t="s">
        <v>7</v>
      </c>
      <c r="B5" s="105"/>
      <c r="C5" s="110">
        <v>0.12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104" t="s">
        <v>6</v>
      </c>
      <c r="B6" s="105"/>
      <c r="C6" s="110">
        <v>0.04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ht="16.5" thickBot="1" x14ac:dyDescent="0.3">
      <c r="A7" s="107" t="s">
        <v>5</v>
      </c>
      <c r="B7" s="108"/>
      <c r="C7" s="109">
        <v>10</v>
      </c>
      <c r="D7" s="2"/>
      <c r="E7" s="2"/>
      <c r="F7" s="2"/>
      <c r="G7" s="2"/>
      <c r="H7" s="2"/>
      <c r="I7" s="2"/>
      <c r="J7" s="2"/>
      <c r="K7" s="2"/>
      <c r="L7" s="90"/>
      <c r="M7" s="2"/>
      <c r="N7" s="2"/>
      <c r="O7" s="2"/>
    </row>
    <row r="8" spans="1:15" x14ac:dyDescent="0.25">
      <c r="A8" s="134" t="s">
        <v>0</v>
      </c>
      <c r="B8" s="135"/>
      <c r="C8" s="136">
        <f>NPV(C5,DCF!$E$14:$H$14,DCF!$I$14+DCF!$I$14*(1+C6)/(C5-C6))</f>
        <v>2880445.8339079684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16.5" thickBot="1" x14ac:dyDescent="0.3">
      <c r="A10" s="2"/>
      <c r="B10" s="2" t="s">
        <v>6</v>
      </c>
      <c r="C10" s="2"/>
      <c r="D10" s="2"/>
      <c r="E10" s="2"/>
      <c r="F10" s="89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76" t="s">
        <v>7</v>
      </c>
      <c r="B11" s="92">
        <f t="shared" ref="B11:D11" si="0">C11*(1-Interval)</f>
        <v>2.3619600000000008E-2</v>
      </c>
      <c r="C11" s="92">
        <f t="shared" si="0"/>
        <v>2.6244000000000007E-2</v>
      </c>
      <c r="D11" s="92">
        <f t="shared" si="0"/>
        <v>2.9160000000000005E-2</v>
      </c>
      <c r="E11" s="92">
        <f>F11*(1-Interval)</f>
        <v>3.2400000000000005E-2</v>
      </c>
      <c r="F11" s="92">
        <f>G11*(1-Interval)</f>
        <v>3.6000000000000004E-2</v>
      </c>
      <c r="G11" s="92">
        <f>Perpetural_Growth_Rate_Sensitivity</f>
        <v>0.04</v>
      </c>
      <c r="H11" s="92">
        <f>G11*(1+Interval)</f>
        <v>4.4000000000000004E-2</v>
      </c>
      <c r="I11" s="92">
        <f t="shared" ref="I11:L11" si="1">H11*(1+Interval)</f>
        <v>4.8400000000000006E-2</v>
      </c>
      <c r="J11" s="92">
        <f t="shared" si="1"/>
        <v>5.324000000000001E-2</v>
      </c>
      <c r="K11" s="92">
        <f t="shared" si="1"/>
        <v>5.8564000000000012E-2</v>
      </c>
      <c r="L11" s="93">
        <f t="shared" si="1"/>
        <v>6.4420400000000017E-2</v>
      </c>
      <c r="M11" s="82"/>
      <c r="N11" s="91"/>
      <c r="O11" s="2"/>
    </row>
    <row r="12" spans="1:15" x14ac:dyDescent="0.25">
      <c r="A12" s="94">
        <f t="shared" ref="A12:A15" si="2">A13*(1-Interval)</f>
        <v>7.0858800000000013E-2</v>
      </c>
      <c r="B12" s="95">
        <f>NPV($A12,DCF!$E$14:$H$14,DCF!$I$14+DCF!$I$14*(1+B$11)/($A12-B$11))</f>
        <v>5402743.785511191</v>
      </c>
      <c r="C12" s="95">
        <f>NPV($A12,DCF!$E$14:$H$14,DCF!$I$14+DCF!$I$14*(1+C$11)/($A12-C$11))</f>
        <v>5688272.6129401932</v>
      </c>
      <c r="D12" s="95">
        <f>NPV($A12,DCF!$E$14:$H$14,DCF!$I$14+DCF!$I$14*(1+D$11)/($A12-D$11))</f>
        <v>6047679.5285850903</v>
      </c>
      <c r="E12" s="95">
        <f>NPV($A12,DCF!$E$14:$H$14,DCF!$I$14+DCF!$I$14*(1+E$11)/($A12-E$11))</f>
        <v>6510942.0230557648</v>
      </c>
      <c r="F12" s="95">
        <f>NPV($A12,DCF!$E$14:$H$14,DCF!$I$14+DCF!$I$14*(1+F$11)/($A12-F$11))</f>
        <v>7126679.7390361028</v>
      </c>
      <c r="G12" s="95">
        <f>NPV($A12,DCF!$E$14:$H$14,DCF!$I$14+DCF!$I$14*(1+G$11)/($A12-G$11))</f>
        <v>7979328.0623432873</v>
      </c>
      <c r="H12" s="95">
        <f>NPV($A12,DCF!$E$14:$H$14,DCF!$I$14+DCF!$I$14*(1+H$11)/($A12-H$11))</f>
        <v>9085941.0671126898</v>
      </c>
      <c r="I12" s="95">
        <f>NPV($A12,DCF!$E$14:$H$14,DCF!$I$14+DCF!$I$14*(1+I$11)/($A12-I$11))</f>
        <v>10758498.119614867</v>
      </c>
      <c r="J12" s="95">
        <f>NPV($A12,DCF!$E$14:$H$14,DCF!$I$14+DCF!$I$14*(1+J$11)/($A12-J$11))</f>
        <v>13563181.917485327</v>
      </c>
      <c r="K12" s="95">
        <f>NPV($A12,DCF!$E$14:$H$14,DCF!$I$14+DCF!$I$14*(1+K$11)/($A12-K$11))</f>
        <v>19198801.506870627</v>
      </c>
      <c r="L12" s="96">
        <f>NPV($A12,DCF!$E$14:$H$14,DCF!$I$14+DCF!$I$14*(1+L$11)/($A12-L$11))</f>
        <v>36162975.814712331</v>
      </c>
      <c r="M12" s="2"/>
      <c r="N12" s="2"/>
      <c r="O12" s="2"/>
    </row>
    <row r="13" spans="1:15" x14ac:dyDescent="0.25">
      <c r="A13" s="94">
        <f t="shared" si="2"/>
        <v>7.873200000000001E-2</v>
      </c>
      <c r="B13" s="95">
        <f>NPV($A13,DCF!$E$14:$H$14,DCF!$I$14+DCF!$I$14*(1+B$11)/($A13-B$11))</f>
        <v>4578144.8359002089</v>
      </c>
      <c r="C13" s="95">
        <f>NPV($A13,DCF!$E$14:$H$14,DCF!$I$14+DCF!$I$14*(1+C$11)/($A13-C$11))</f>
        <v>4780165.9163668342</v>
      </c>
      <c r="D13" s="95">
        <f>NPV($A13,DCF!$E$14:$H$14,DCF!$I$14+DCF!$I$14*(1+D$11)/($A13-D$11))</f>
        <v>5029721.3687079586</v>
      </c>
      <c r="E13" s="95">
        <f>NPV($A13,DCF!$E$14:$H$14,DCF!$I$14+DCF!$I$14*(1+E$11)/($A13-E$11))</f>
        <v>5343847.1129135685</v>
      </c>
      <c r="F13" s="95">
        <f>NPV($A13,DCF!$E$14:$H$14,DCF!$I$14+DCF!$I$14*(1+F$11)/($A13-F$11))</f>
        <v>5748743.8177447263</v>
      </c>
      <c r="G13" s="95">
        <f>NPV($A13,DCF!$E$14:$H$14,DCF!$I$14+DCF!$I$14*(1+G$11)/($A13-G$11))</f>
        <v>6286905.6055353917</v>
      </c>
      <c r="H13" s="95">
        <f>NPV($A13,DCF!$E$14:$H$14,DCF!$I$14+DCF!$I$14*(1+H$11)/($A13-H$11))</f>
        <v>6949024.9627814656</v>
      </c>
      <c r="I13" s="95">
        <f>NPV($A13,DCF!$E$14:$H$14,DCF!$I$14+DCF!$I$14*(1+I$11)/($A13-I$11))</f>
        <v>7879056.8643817715</v>
      </c>
      <c r="J13" s="95">
        <f>NPV($A13,DCF!$E$14:$H$14,DCF!$I$14+DCF!$I$14*(1+J$11)/($A13-J$11))</f>
        <v>9272908.0650337413</v>
      </c>
      <c r="K13" s="95">
        <f>NPV($A13,DCF!$E$14:$H$14,DCF!$I$14+DCF!$I$14*(1+K$11)/($A13-K$11))</f>
        <v>11578844.403787863</v>
      </c>
      <c r="L13" s="96">
        <f>NPV($A13,DCF!$E$14:$H$14,DCF!$I$14+DCF!$I$14*(1+L$11)/($A13-L$11))</f>
        <v>16096943.153212951</v>
      </c>
      <c r="M13" s="2"/>
      <c r="N13" s="2"/>
      <c r="O13" s="2"/>
    </row>
    <row r="14" spans="1:15" x14ac:dyDescent="0.25">
      <c r="A14" s="94">
        <f t="shared" si="2"/>
        <v>8.7480000000000002E-2</v>
      </c>
      <c r="B14" s="95">
        <f>NPV($A14,DCF!$E$14:$H$14,DCF!$I$14+DCF!$I$14*(1+B$11)/($A14-B$11))</f>
        <v>3901945.7884241701</v>
      </c>
      <c r="C14" s="95">
        <f>NPV($A14,DCF!$E$14:$H$14,DCF!$I$14+DCF!$I$14*(1+C$11)/($A14-C$11))</f>
        <v>4046635.1909323009</v>
      </c>
      <c r="D14" s="95">
        <f>NPV($A14,DCF!$E$14:$H$14,DCF!$I$14+DCF!$I$14*(1+D$11)/($A14-D$11))</f>
        <v>4222673.9639838608</v>
      </c>
      <c r="E14" s="95">
        <f>NPV($A14,DCF!$E$14:$H$14,DCF!$I$14+DCF!$I$14*(1+E$11)/($A14-E$11))</f>
        <v>4440133.6248122547</v>
      </c>
      <c r="F14" s="95">
        <f>NPV($A14,DCF!$E$14:$H$14,DCF!$I$14+DCF!$I$14*(1+F$11)/($A14-F$11))</f>
        <v>4713859.0720088379</v>
      </c>
      <c r="G14" s="95">
        <f>NPV($A14,DCF!$E$14:$H$14,DCF!$I$14+DCF!$I$14*(1+G$11)/($A14-G$11))</f>
        <v>5066681.2575276</v>
      </c>
      <c r="H14" s="95">
        <f>NPV($A14,DCF!$E$14:$H$14,DCF!$I$14+DCF!$I$14*(1+H$11)/($A14-H$11))</f>
        <v>5484420.128514396</v>
      </c>
      <c r="I14" s="95">
        <f>NPV($A14,DCF!$E$14:$H$14,DCF!$I$14+DCF!$I$14*(1+I$11)/($A14-I$11))</f>
        <v>6042702.2614186546</v>
      </c>
      <c r="J14" s="95">
        <f>NPV($A14,DCF!$E$14:$H$14,DCF!$I$14+DCF!$I$14*(1+J$11)/($A14-J$11))</f>
        <v>6822536.3108504545</v>
      </c>
      <c r="K14" s="95">
        <f>NPV($A14,DCF!$E$14:$H$14,DCF!$I$14+DCF!$I$14*(1+K$11)/($A14-K$11))</f>
        <v>7981877.3717501024</v>
      </c>
      <c r="L14" s="96">
        <f>NPV($A14,DCF!$E$14:$H$14,DCF!$I$14+DCF!$I$14*(1+L$11)/($A14-L$11))</f>
        <v>9875467.1008748226</v>
      </c>
      <c r="M14" s="2"/>
      <c r="N14" s="2"/>
      <c r="O14" s="2"/>
    </row>
    <row r="15" spans="1:15" x14ac:dyDescent="0.25">
      <c r="A15" s="94">
        <f t="shared" si="2"/>
        <v>9.7199999999999995E-2</v>
      </c>
      <c r="B15" s="95">
        <f>NPV($A15,DCF!$E$14:$H$14,DCF!$I$14+DCF!$I$14*(1+B$11)/($A15-B$11))</f>
        <v>3340787.1059246073</v>
      </c>
      <c r="C15" s="95">
        <f>NPV($A15,DCF!$E$14:$H$14,DCF!$I$14+DCF!$I$14*(1+C$11)/($A15-C$11))</f>
        <v>3445371.2438722327</v>
      </c>
      <c r="D15" s="95">
        <f>NPV($A15,DCF!$E$14:$H$14,DCF!$I$14+DCF!$I$14*(1+D$11)/($A15-D$11))</f>
        <v>3571038.2159775547</v>
      </c>
      <c r="E15" s="95">
        <f>NPV($A15,DCF!$E$14:$H$14,DCF!$I$14+DCF!$I$14*(1+E$11)/($A15-E$11))</f>
        <v>3723933.0320390277</v>
      </c>
      <c r="F15" s="95">
        <f>NPV($A15,DCF!$E$14:$H$14,DCF!$I$14+DCF!$I$14*(1+F$11)/($A15-F$11))</f>
        <v>3912803.0989384963</v>
      </c>
      <c r="G15" s="95">
        <f>NPV($A15,DCF!$E$14:$H$14,DCF!$I$14+DCF!$I$14*(1+G$11)/($A15-G$11))</f>
        <v>4150541.6446860787</v>
      </c>
      <c r="H15" s="95">
        <f>NPV($A15,DCF!$E$14:$H$14,DCF!$I$14+DCF!$I$14*(1+H$11)/($A15-H$11))</f>
        <v>4424030.3476889366</v>
      </c>
      <c r="I15" s="95">
        <f>NPV($A15,DCF!$E$14:$H$14,DCF!$I$14+DCF!$I$14*(1+I$11)/($A15-I$11))</f>
        <v>4776651.4377081953</v>
      </c>
      <c r="J15" s="95">
        <f>NPV($A15,DCF!$E$14:$H$14,DCF!$I$14+DCF!$I$14*(1+J$11)/($A15-J$11))</f>
        <v>5246064.2263325593</v>
      </c>
      <c r="K15" s="95">
        <f>NPV($A15,DCF!$E$14:$H$14,DCF!$I$14+DCF!$I$14*(1+K$11)/($A15-K$11))</f>
        <v>5898255.9256118797</v>
      </c>
      <c r="L15" s="96">
        <f>NPV($A15,DCF!$E$14:$H$14,DCF!$I$14+DCF!$I$14*(1+L$11)/($A15-L$11))</f>
        <v>6860359.850319651</v>
      </c>
      <c r="M15" s="2"/>
      <c r="N15" s="2"/>
      <c r="O15" s="2"/>
    </row>
    <row r="16" spans="1:15" x14ac:dyDescent="0.25">
      <c r="A16" s="94">
        <f>A17*(1-Interval)</f>
        <v>0.108</v>
      </c>
      <c r="B16" s="95">
        <f>NPV($A16,DCF!$E$14:$H$14,DCF!$I$14+DCF!$I$14*(1+B$11)/($A16-B$11))</f>
        <v>2870546.0460895719</v>
      </c>
      <c r="C16" s="95">
        <f>NPV($A16,DCF!$E$14:$H$14,DCF!$I$14+DCF!$I$14*(1+C$11)/($A16-C$11))</f>
        <v>2946655.7495534928</v>
      </c>
      <c r="D16" s="95">
        <f>NPV($A16,DCF!$E$14:$H$14,DCF!$I$14+DCF!$I$14*(1+D$11)/($A16-D$11))</f>
        <v>3037164.8991978788</v>
      </c>
      <c r="E16" s="95">
        <f>NPV($A16,DCF!$E$14:$H$14,DCF!$I$14+DCF!$I$14*(1+E$11)/($A16-E$11))</f>
        <v>3145919.5440880368</v>
      </c>
      <c r="F16" s="95">
        <f>NPV($A16,DCF!$E$14:$H$14,DCF!$I$14+DCF!$I$14*(1+F$11)/($A16-F$11))</f>
        <v>3278237.695371063</v>
      </c>
      <c r="G16" s="95">
        <f>NPV($A16,DCF!$E$14:$H$14,DCF!$I$14+DCF!$I$14*(1+G$11)/($A16-G$11))</f>
        <v>3441689.5293089189</v>
      </c>
      <c r="H16" s="95">
        <f>NPV($A16,DCF!$E$14:$H$14,DCF!$I$14+DCF!$I$14*(1+H$11)/($A16-H$11))</f>
        <v>3625572.8424890069</v>
      </c>
      <c r="I16" s="95">
        <f>NPV($A16,DCF!$E$14:$H$14,DCF!$I$14+DCF!$I$14*(1+I$11)/($A16-I$11))</f>
        <v>3856352.5711109964</v>
      </c>
      <c r="J16" s="95">
        <f>NPV($A16,DCF!$E$14:$H$14,DCF!$I$14+DCF!$I$14*(1+J$11)/($A16-J$11))</f>
        <v>4153045.2828529272</v>
      </c>
      <c r="K16" s="95">
        <f>NPV($A16,DCF!$E$14:$H$14,DCF!$I$14+DCF!$I$14*(1+K$11)/($A16-K$11))</f>
        <v>4546507.0148255965</v>
      </c>
      <c r="L16" s="96">
        <f>NPV($A16,DCF!$E$14:$H$14,DCF!$I$14+DCF!$I$14*(1+L$11)/($A16-L$11))</f>
        <v>5090352.3205903536</v>
      </c>
      <c r="M16" s="2"/>
      <c r="N16" s="2"/>
      <c r="O16" s="2"/>
    </row>
    <row r="17" spans="1:15" x14ac:dyDescent="0.25">
      <c r="A17" s="94">
        <f>Discount_Rate_Sensitivity</f>
        <v>0.12</v>
      </c>
      <c r="B17" s="95">
        <f>NPV($A17,DCF!$E$14:$H$14,DCF!$I$14+DCF!$I$14*(1+B$11)/($A17-B$11))</f>
        <v>2473343.1572351526</v>
      </c>
      <c r="C17" s="95">
        <f>NPV($A17,DCF!$E$14:$H$14,DCF!$I$14+DCF!$I$14*(1+C$11)/($A17-C$11))</f>
        <v>2528997.6720217848</v>
      </c>
      <c r="D17" s="95">
        <f>NPV($A17,DCF!$E$14:$H$14,DCF!$I$14+DCF!$I$14*(1+D$11)/($A17-D$11))</f>
        <v>2594607.5892993128</v>
      </c>
      <c r="E17" s="95">
        <f>NPV($A17,DCF!$E$14:$H$14,DCF!$I$14+DCF!$I$14*(1+E$11)/($A17-E$11))</f>
        <v>2672630.463529042</v>
      </c>
      <c r="F17" s="95">
        <f>NPV($A17,DCF!$E$14:$H$14,DCF!$I$14+DCF!$I$14*(1+F$11)/($A17-F$11))</f>
        <v>2766381.7584368279</v>
      </c>
      <c r="G17" s="95">
        <f>NPV($A17,DCF!$E$14:$H$14,DCF!$I$14+DCF!$I$14*(1+G$11)/($A17-G$11))</f>
        <v>2880445.8339079684</v>
      </c>
      <c r="H17" s="95">
        <f>NPV($A17,DCF!$E$14:$H$14,DCF!$I$14+DCF!$I$14*(1+H$11)/($A17-H$11))</f>
        <v>3006516.6541655436</v>
      </c>
      <c r="I17" s="95">
        <f>NPV($A17,DCF!$E$14:$H$14,DCF!$I$14+DCF!$I$14*(1+I$11)/($A17-I$11))</f>
        <v>3161464.0310184294</v>
      </c>
      <c r="J17" s="95">
        <f>NPV($A17,DCF!$E$14:$H$14,DCF!$I$14+DCF!$I$14*(1+J$11)/($A17-J$11))</f>
        <v>3355496.3962805825</v>
      </c>
      <c r="K17" s="95">
        <f>NPV($A17,DCF!$E$14:$H$14,DCF!$I$14+DCF!$I$14*(1+K$11)/($A17-K$11))</f>
        <v>3604242.8818598371</v>
      </c>
      <c r="L17" s="96">
        <f>NPV($A17,DCF!$E$14:$H$14,DCF!$I$14+DCF!$I$14*(1+L$11)/($A17-L$11))</f>
        <v>3932905.6810703059</v>
      </c>
      <c r="M17" s="2"/>
      <c r="N17" s="2"/>
      <c r="O17" s="2"/>
    </row>
    <row r="18" spans="1:15" x14ac:dyDescent="0.25">
      <c r="A18" s="94">
        <f>A17*(1+Interval)</f>
        <v>0.13200000000000001</v>
      </c>
      <c r="B18" s="95">
        <f>NPV($A18,DCF!$E$14:$H$14,DCF!$I$14+DCF!$I$14*(1+B$11)/($A18-B$11))</f>
        <v>2165592.9512558691</v>
      </c>
      <c r="C18" s="95">
        <f>NPV($A18,DCF!$E$14:$H$14,DCF!$I$14+DCF!$I$14*(1+C$11)/($A18-C$11))</f>
        <v>2207638.3826810583</v>
      </c>
      <c r="D18" s="95">
        <f>NPV($A18,DCF!$E$14:$H$14,DCF!$I$14+DCF!$I$14*(1+D$11)/($A18-D$11))</f>
        <v>2256872.3672529338</v>
      </c>
      <c r="E18" s="95">
        <f>NPV($A18,DCF!$E$14:$H$14,DCF!$I$14+DCF!$I$14*(1+E$11)/($A18-E$11))</f>
        <v>2314957.9236159776</v>
      </c>
      <c r="F18" s="95">
        <f>NPV($A18,DCF!$E$14:$H$14,DCF!$I$14+DCF!$I$14*(1+F$11)/($A18-F$11))</f>
        <v>2384095.8705647672</v>
      </c>
      <c r="G18" s="95">
        <f>NPV($A18,DCF!$E$14:$H$14,DCF!$I$14+DCF!$I$14*(1+G$11)/($A18-G$11))</f>
        <v>2467261.8067495436</v>
      </c>
      <c r="H18" s="95">
        <f>NPV($A18,DCF!$E$14:$H$14,DCF!$I$14+DCF!$I$14*(1+H$11)/($A18-H$11))</f>
        <v>2557988.2825874817</v>
      </c>
      <c r="I18" s="95">
        <f>NPV($A18,DCF!$E$14:$H$14,DCF!$I$14+DCF!$I$14*(1+I$11)/($A18-I$11))</f>
        <v>2667815.0691281427</v>
      </c>
      <c r="J18" s="95">
        <f>NPV($A18,DCF!$E$14:$H$14,DCF!$I$14+DCF!$I$14*(1+J$11)/($A18-J$11))</f>
        <v>2802797.7118038163</v>
      </c>
      <c r="K18" s="95">
        <f>NPV($A18,DCF!$E$14:$H$14,DCF!$I$14+DCF!$I$14*(1+K$11)/($A18-K$11))</f>
        <v>2971829.3014935451</v>
      </c>
      <c r="L18" s="96">
        <f>NPV($A18,DCF!$E$14:$H$14,DCF!$I$14+DCF!$I$14*(1+L$11)/($A18-L$11))</f>
        <v>3188525.1801959844</v>
      </c>
      <c r="M18" s="2"/>
      <c r="N18" s="2"/>
      <c r="O18" s="2"/>
    </row>
    <row r="19" spans="1:15" x14ac:dyDescent="0.25">
      <c r="A19" s="94">
        <f t="shared" ref="A19:A22" si="3">A18*(1+Interval)</f>
        <v>0.14520000000000002</v>
      </c>
      <c r="B19" s="95">
        <f>NPV($A19,DCF!$E$14:$H$14,DCF!$I$14+DCF!$I$14*(1+B$11)/($A19-B$11))</f>
        <v>1898688.3112279894</v>
      </c>
      <c r="C19" s="95">
        <f>NPV($A19,DCF!$E$14:$H$14,DCF!$I$14+DCF!$I$14*(1+C$11)/($A19-C$11))</f>
        <v>1930499.8742904384</v>
      </c>
      <c r="D19" s="95">
        <f>NPV($A19,DCF!$E$14:$H$14,DCF!$I$14+DCF!$I$14*(1+D$11)/($A19-D$11))</f>
        <v>1967533.6802745606</v>
      </c>
      <c r="E19" s="95">
        <f>NPV($A19,DCF!$E$14:$H$14,DCF!$I$14+DCF!$I$14*(1+E$11)/($A19-E$11))</f>
        <v>2010928.0205488633</v>
      </c>
      <c r="F19" s="95">
        <f>NPV($A19,DCF!$E$14:$H$14,DCF!$I$14+DCF!$I$14*(1+F$11)/($A19-F$11))</f>
        <v>2062164.0731071674</v>
      </c>
      <c r="G19" s="95">
        <f>NPV($A19,DCF!$E$14:$H$14,DCF!$I$14+DCF!$I$14*(1+G$11)/($A19-G$11))</f>
        <v>2123205.7580308756</v>
      </c>
      <c r="H19" s="95">
        <f>NPV($A19,DCF!$E$14:$H$14,DCF!$I$14+DCF!$I$14*(1+H$11)/($A19-H$11))</f>
        <v>2189072.8725928217</v>
      </c>
      <c r="I19" s="95">
        <f>NPV($A19,DCF!$E$14:$H$14,DCF!$I$14+DCF!$I$14*(1+I$11)/($A19-I$11))</f>
        <v>2267814.0140918749</v>
      </c>
      <c r="J19" s="95">
        <f>NPV($A19,DCF!$E$14:$H$14,DCF!$I$14+DCF!$I$14*(1+J$11)/($A19-J$11))</f>
        <v>2363132.2380117821</v>
      </c>
      <c r="K19" s="95">
        <f>NPV($A19,DCF!$E$14:$H$14,DCF!$I$14+DCF!$I$14*(1+K$11)/($A19-K$11))</f>
        <v>2480283.1277457452</v>
      </c>
      <c r="L19" s="96">
        <f>NPV($A19,DCF!$E$14:$H$14,DCF!$I$14+DCF!$I$14*(1+L$11)/($A19-L$11))</f>
        <v>2626984.9609057126</v>
      </c>
      <c r="M19" s="2"/>
      <c r="N19" s="2"/>
      <c r="O19" s="2"/>
    </row>
    <row r="20" spans="1:15" x14ac:dyDescent="0.25">
      <c r="A20" s="94">
        <f t="shared" si="3"/>
        <v>0.15972000000000003</v>
      </c>
      <c r="B20" s="95">
        <f>NPV($A20,DCF!$E$14:$H$14,DCF!$I$14+DCF!$I$14*(1+B$11)/($A20-B$11))</f>
        <v>1666371.291289032</v>
      </c>
      <c r="C20" s="95">
        <f>NPV($A20,DCF!$E$14:$H$14,DCF!$I$14+DCF!$I$14*(1+C$11)/($A20-C$11))</f>
        <v>1690452.8788383096</v>
      </c>
      <c r="D20" s="95">
        <f>NPV($A20,DCF!$E$14:$H$14,DCF!$I$14+DCF!$I$14*(1+D$11)/($A20-D$11))</f>
        <v>1718345.6628975051</v>
      </c>
      <c r="E20" s="95">
        <f>NPV($A20,DCF!$E$14:$H$14,DCF!$I$14+DCF!$I$14*(1+E$11)/($A20-E$11))</f>
        <v>1750836.1265157298</v>
      </c>
      <c r="F20" s="95">
        <f>NPV($A20,DCF!$E$14:$H$14,DCF!$I$14+DCF!$I$14*(1+F$11)/($A20-F$11))</f>
        <v>1788932.4994186598</v>
      </c>
      <c r="G20" s="95">
        <f>NPV($A20,DCF!$E$14:$H$14,DCF!$I$14+DCF!$I$14*(1+G$11)/($A20-G$11))</f>
        <v>1833948.9284753578</v>
      </c>
      <c r="H20" s="95">
        <f>NPV($A20,DCF!$E$14:$H$14,DCF!$I$14+DCF!$I$14*(1+H$11)/($A20-H$11))</f>
        <v>1882077.4507955669</v>
      </c>
      <c r="I20" s="95">
        <f>NPV($A20,DCF!$E$14:$H$14,DCF!$I$14+DCF!$I$14*(1+I$11)/($A20-I$11))</f>
        <v>1939013.6829316881</v>
      </c>
      <c r="J20" s="95">
        <f>NPV($A20,DCF!$E$14:$H$14,DCF!$I$14+DCF!$I$14*(1+J$11)/($A20-J$11))</f>
        <v>2007078.3604398693</v>
      </c>
      <c r="K20" s="95">
        <f>NPV($A20,DCF!$E$14:$H$14,DCF!$I$14+DCF!$I$14*(1+K$11)/($A20-K$11))</f>
        <v>2089472.4437392466</v>
      </c>
      <c r="L20" s="96">
        <f>NPV($A20,DCF!$E$14:$H$14,DCF!$I$14+DCF!$I$14*(1+L$11)/($A20-L$11))</f>
        <v>2190738.9148334535</v>
      </c>
      <c r="M20" s="2"/>
      <c r="N20" s="2"/>
      <c r="O20" s="91"/>
    </row>
    <row r="21" spans="1:15" x14ac:dyDescent="0.25">
      <c r="A21" s="94">
        <f t="shared" si="3"/>
        <v>0.17569200000000004</v>
      </c>
      <c r="B21" s="95">
        <f>NPV($A21,DCF!$E$14:$H$14,DCF!$I$14+DCF!$I$14*(1+B$11)/($A21-B$11))</f>
        <v>1463565.0438623542</v>
      </c>
      <c r="C21" s="95">
        <f>NPV($A21,DCF!$E$14:$H$14,DCF!$I$14+DCF!$I$14*(1+C$11)/($A21-C$11))</f>
        <v>1481789.1202269536</v>
      </c>
      <c r="D21" s="95">
        <f>NPV($A21,DCF!$E$14:$H$14,DCF!$I$14+DCF!$I$14*(1+D$11)/($A21-D$11))</f>
        <v>1502803.7111282044</v>
      </c>
      <c r="E21" s="95">
        <f>NPV($A21,DCF!$E$14:$H$14,DCF!$I$14+DCF!$I$14*(1+E$11)/($A21-E$11))</f>
        <v>1527156.3816735873</v>
      </c>
      <c r="F21" s="95">
        <f>NPV($A21,DCF!$E$14:$H$14,DCF!$I$14+DCF!$I$14*(1+F$11)/($A21-F$11))</f>
        <v>1555539.821434363</v>
      </c>
      <c r="G21" s="95">
        <f>NPV($A21,DCF!$E$14:$H$14,DCF!$I$14+DCF!$I$14*(1+G$11)/($A21-G$11))</f>
        <v>1588843.3474770111</v>
      </c>
      <c r="H21" s="95">
        <f>NPV($A21,DCF!$E$14:$H$14,DCF!$I$14+DCF!$I$14*(1+H$11)/($A21-H$11))</f>
        <v>1624169.9896416801</v>
      </c>
      <c r="I21" s="95">
        <f>NPV($A21,DCF!$E$14:$H$14,DCF!$I$14+DCF!$I$14*(1+I$11)/($A21-I$11))</f>
        <v>1665593.621931762</v>
      </c>
      <c r="J21" s="95">
        <f>NPV($A21,DCF!$E$14:$H$14,DCF!$I$14+DCF!$I$14*(1+J$11)/($A21-J$11))</f>
        <v>1714597.9426607008</v>
      </c>
      <c r="K21" s="95">
        <f>NPV($A21,DCF!$E$14:$H$14,DCF!$I$14+DCF!$I$14*(1+K$11)/($A21-K$11))</f>
        <v>1773180.3806230228</v>
      </c>
      <c r="L21" s="96">
        <f>NPV($A21,DCF!$E$14:$H$14,DCF!$I$14+DCF!$I$14*(1+L$11)/($A21-L$11))</f>
        <v>1844095.9634195182</v>
      </c>
      <c r="M21" s="2"/>
      <c r="N21" s="2"/>
      <c r="O21" s="2"/>
    </row>
    <row r="22" spans="1:15" ht="16.5" thickBot="1" x14ac:dyDescent="0.3">
      <c r="A22" s="97">
        <f t="shared" si="3"/>
        <v>0.19326120000000005</v>
      </c>
      <c r="B22" s="98">
        <f>NPV($A22,DCF!$E$14:$H$14,DCF!$I$14+DCF!$I$14*(1+B$11)/($A22-B$11))</f>
        <v>1286105.2307108138</v>
      </c>
      <c r="C22" s="98">
        <f>NPV($A22,DCF!$E$14:$H$14,DCF!$I$14+DCF!$I$14*(1+C$11)/($A22-C$11))</f>
        <v>1299881.278803936</v>
      </c>
      <c r="D22" s="98">
        <f>NPV($A22,DCF!$E$14:$H$14,DCF!$I$14+DCF!$I$14*(1+D$11)/($A22-D$11))</f>
        <v>1315704.7858173198</v>
      </c>
      <c r="E22" s="98">
        <f>NPV($A22,DCF!$E$14:$H$14,DCF!$I$14+DCF!$I$14*(1+E$11)/($A22-E$11))</f>
        <v>1333959.2936756862</v>
      </c>
      <c r="F22" s="98">
        <f>NPV($A22,DCF!$E$14:$H$14,DCF!$I$14+DCF!$I$14*(1+F$11)/($A22-F$11))</f>
        <v>1355124.2701957647</v>
      </c>
      <c r="G22" s="98">
        <f>NPV($A22,DCF!$E$14:$H$14,DCF!$I$14+DCF!$I$14*(1+G$11)/($A22-G$11))</f>
        <v>1379807.0667765306</v>
      </c>
      <c r="H22" s="98">
        <f>NPV($A22,DCF!$E$14:$H$14,DCF!$I$14+DCF!$I$14*(1+H$11)/($A22-H$11))</f>
        <v>1405812.7950545228</v>
      </c>
      <c r="I22" s="98">
        <f>NPV($A22,DCF!$E$14:$H$14,DCF!$I$14+DCF!$I$14*(1+I$11)/($A22-I$11))</f>
        <v>1436077.8766294029</v>
      </c>
      <c r="J22" s="98">
        <f>NPV($A22,DCF!$E$14:$H$14,DCF!$I$14+DCF!$I$14*(1+J$11)/($A22-J$11))</f>
        <v>1471566.378608824</v>
      </c>
      <c r="K22" s="98">
        <f>NPV($A22,DCF!$E$14:$H$14,DCF!$I$14+DCF!$I$14*(1+K$11)/($A22-K$11))</f>
        <v>1513549.4167212376</v>
      </c>
      <c r="L22" s="99">
        <f>NPV($A22,DCF!$E$14:$H$14,DCF!$I$14+DCF!$I$14*(1+L$11)/($A22-L$11))</f>
        <v>1563738.2304647143</v>
      </c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9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6.5" thickBo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6.5" thickBot="1" x14ac:dyDescent="0.3">
      <c r="A27" s="77" t="s">
        <v>7</v>
      </c>
      <c r="B27" s="18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9"/>
      <c r="M27" s="2"/>
      <c r="N27" s="2"/>
      <c r="O27" s="2"/>
    </row>
    <row r="28" spans="1:15" x14ac:dyDescent="0.25">
      <c r="A28" s="100"/>
      <c r="B28" s="80">
        <f t="shared" ref="B28:E28" si="4">C28*(1-Interval)</f>
        <v>5.9049000000000005</v>
      </c>
      <c r="C28" s="80">
        <f t="shared" si="4"/>
        <v>6.5609999999999999</v>
      </c>
      <c r="D28" s="80">
        <f t="shared" si="4"/>
        <v>7.29</v>
      </c>
      <c r="E28" s="80">
        <f t="shared" si="4"/>
        <v>8.1</v>
      </c>
      <c r="F28" s="80">
        <f>G28*(1-Interval)</f>
        <v>9</v>
      </c>
      <c r="G28" s="80">
        <f>EV_EBITDA_Multiple_Sensitivity</f>
        <v>10</v>
      </c>
      <c r="H28" s="80">
        <f>G28*(1+Interval)</f>
        <v>11</v>
      </c>
      <c r="I28" s="80">
        <f t="shared" ref="I28:L28" si="5">H28*(1+Interval)</f>
        <v>12.100000000000001</v>
      </c>
      <c r="J28" s="80">
        <f t="shared" si="5"/>
        <v>13.310000000000002</v>
      </c>
      <c r="K28" s="80">
        <f t="shared" si="5"/>
        <v>14.641000000000004</v>
      </c>
      <c r="L28" s="81">
        <f t="shared" si="5"/>
        <v>16.105100000000004</v>
      </c>
      <c r="M28" s="2"/>
      <c r="N28" s="2"/>
      <c r="O28" s="2"/>
    </row>
    <row r="29" spans="1:15" x14ac:dyDescent="0.25">
      <c r="A29" s="78">
        <f t="shared" ref="A29:A32" si="6">A30*(1-Interval)</f>
        <v>7.0858800000000013E-2</v>
      </c>
      <c r="B29" s="95">
        <f>NPV($A29,DCF!$E$14:$H$14,DCF!$I$14+B$28*DCF!$I$5)</f>
        <v>2792755.0462643956</v>
      </c>
      <c r="C29" s="95">
        <f>NPV($A29,DCF!$E$14:$H$14,DCF!$I$14+C$28*DCF!$I$5)</f>
        <v>3018296.7600468802</v>
      </c>
      <c r="D29" s="95">
        <f>NPV($A29,DCF!$E$14:$H$14,DCF!$I$14+D$28*DCF!$I$5)</f>
        <v>3268898.6642496418</v>
      </c>
      <c r="E29" s="95">
        <f>NPV($A29,DCF!$E$14:$H$14,DCF!$I$14+E$28*DCF!$I$5)</f>
        <v>3547345.2244749325</v>
      </c>
      <c r="F29" s="95">
        <f>NPV($A29,DCF!$E$14:$H$14,DCF!$I$14+F$28*DCF!$I$5)</f>
        <v>3856730.2913919226</v>
      </c>
      <c r="G29" s="95">
        <f>NPV($A29,DCF!$E$14:$H$14,DCF!$I$14+G$28*DCF!$I$5)</f>
        <v>4200491.4768552445</v>
      </c>
      <c r="H29" s="95">
        <f>NPV($A29,DCF!$E$14:$H$14,DCF!$I$14+H$28*DCF!$I$5)</f>
        <v>4544252.662318565</v>
      </c>
      <c r="I29" s="95">
        <f>NPV($A29,DCF!$E$14:$H$14,DCF!$I$14+I$28*DCF!$I$5)</f>
        <v>4922389.9663282195</v>
      </c>
      <c r="J29" s="95">
        <f>NPV($A29,DCF!$E$14:$H$14,DCF!$I$14+J$28*DCF!$I$5)</f>
        <v>5338341.0007388396</v>
      </c>
      <c r="K29" s="95">
        <f>NPV($A29,DCF!$E$14:$H$14,DCF!$I$14+K$28*DCF!$I$5)</f>
        <v>5795887.1385905212</v>
      </c>
      <c r="L29" s="96">
        <f>NPV($A29,DCF!$E$14:$H$14,DCF!$I$14+L$28*DCF!$I$5)</f>
        <v>6299187.89022737</v>
      </c>
      <c r="M29" s="2"/>
      <c r="N29" s="2"/>
      <c r="O29" s="2"/>
    </row>
    <row r="30" spans="1:15" x14ac:dyDescent="0.25">
      <c r="A30" s="78">
        <f t="shared" si="6"/>
        <v>7.873200000000001E-2</v>
      </c>
      <c r="B30" s="95">
        <f>NPV($A30,DCF!$E$14:$H$14,DCF!$I$14+B$28*DCF!$I$5)</f>
        <v>2701021.2272450896</v>
      </c>
      <c r="C30" s="95">
        <f>NPV($A30,DCF!$E$14:$H$14,DCF!$I$14+C$28*DCF!$I$5)</f>
        <v>2918451.552536936</v>
      </c>
      <c r="D30" s="95">
        <f>NPV($A30,DCF!$E$14:$H$14,DCF!$I$14+D$28*DCF!$I$5)</f>
        <v>3160040.8028612104</v>
      </c>
      <c r="E30" s="95">
        <f>NPV($A30,DCF!$E$14:$H$14,DCF!$I$14+E$28*DCF!$I$5)</f>
        <v>3428473.3032215154</v>
      </c>
      <c r="F30" s="95">
        <f>NPV($A30,DCF!$E$14:$H$14,DCF!$I$14+F$28*DCF!$I$5)</f>
        <v>3726731.6369551877</v>
      </c>
      <c r="G30" s="95">
        <f>NPV($A30,DCF!$E$14:$H$14,DCF!$I$14+G$28*DCF!$I$5)</f>
        <v>4058129.7855481566</v>
      </c>
      <c r="H30" s="95">
        <f>NPV($A30,DCF!$E$14:$H$14,DCF!$I$14+H$28*DCF!$I$5)</f>
        <v>4389527.9341411255</v>
      </c>
      <c r="I30" s="95">
        <f>NPV($A30,DCF!$E$14:$H$14,DCF!$I$14+I$28*DCF!$I$5)</f>
        <v>4754065.8975933921</v>
      </c>
      <c r="J30" s="95">
        <f>NPV($A30,DCF!$E$14:$H$14,DCF!$I$14+J$28*DCF!$I$5)</f>
        <v>5155057.6573908851</v>
      </c>
      <c r="K30" s="95">
        <f>NPV($A30,DCF!$E$14:$H$14,DCF!$I$14+K$28*DCF!$I$5)</f>
        <v>5596148.5931681264</v>
      </c>
      <c r="L30" s="96">
        <f>NPV($A30,DCF!$E$14:$H$14,DCF!$I$14+L$28*DCF!$I$5)</f>
        <v>6081348.6225230936</v>
      </c>
      <c r="M30" s="2"/>
      <c r="N30" s="2"/>
      <c r="O30" s="2"/>
    </row>
    <row r="31" spans="1:15" x14ac:dyDescent="0.25">
      <c r="A31" s="78">
        <f t="shared" si="6"/>
        <v>8.7480000000000002E-2</v>
      </c>
      <c r="B31" s="95">
        <f>NPV($A31,DCF!$E$14:$H$14,DCF!$I$14+B$28*DCF!$I$5)</f>
        <v>2603535.458746403</v>
      </c>
      <c r="C31" s="95">
        <f>NPV($A31,DCF!$E$14:$H$14,DCF!$I$14+C$28*DCF!$I$5)</f>
        <v>2812359.9986074632</v>
      </c>
      <c r="D31" s="95">
        <f>NPV($A31,DCF!$E$14:$H$14,DCF!$I$14+D$28*DCF!$I$5)</f>
        <v>3044387.2651197524</v>
      </c>
      <c r="E31" s="95">
        <f>NPV($A31,DCF!$E$14:$H$14,DCF!$I$14+E$28*DCF!$I$5)</f>
        <v>3302195.3390222965</v>
      </c>
      <c r="F31" s="95">
        <f>NPV($A31,DCF!$E$14:$H$14,DCF!$I$14+F$28*DCF!$I$5)</f>
        <v>3588648.7544695674</v>
      </c>
      <c r="G31" s="95">
        <f>NPV($A31,DCF!$E$14:$H$14,DCF!$I$14+G$28*DCF!$I$5)</f>
        <v>3906930.3271887572</v>
      </c>
      <c r="H31" s="95">
        <f>NPV($A31,DCF!$E$14:$H$14,DCF!$I$14+H$28*DCF!$I$5)</f>
        <v>4225211.8999079466</v>
      </c>
      <c r="I31" s="95">
        <f>NPV($A31,DCF!$E$14:$H$14,DCF!$I$14+I$28*DCF!$I$5)</f>
        <v>4575321.6298990566</v>
      </c>
      <c r="J31" s="95">
        <f>NPV($A31,DCF!$E$14:$H$14,DCF!$I$14+J$28*DCF!$I$5)</f>
        <v>4960442.3328892756</v>
      </c>
      <c r="K31" s="95">
        <f>NPV($A31,DCF!$E$14:$H$14,DCF!$I$14+K$28*DCF!$I$5)</f>
        <v>5384075.1061785184</v>
      </c>
      <c r="L31" s="96">
        <f>NPV($A31,DCF!$E$14:$H$14,DCF!$I$14+L$28*DCF!$I$5)</f>
        <v>5850071.1567966845</v>
      </c>
      <c r="M31" s="2"/>
      <c r="N31" s="2"/>
      <c r="O31" s="2"/>
    </row>
    <row r="32" spans="1:15" x14ac:dyDescent="0.25">
      <c r="A32" s="78">
        <f t="shared" si="6"/>
        <v>9.7199999999999995E-2</v>
      </c>
      <c r="B32" s="95">
        <f>NPV($A32,DCF!$E$14:$H$14,DCF!$I$14+B$28*DCF!$I$5)</f>
        <v>2500404.0607615868</v>
      </c>
      <c r="C32" s="95">
        <f>NPV($A32,DCF!$E$14:$H$14,DCF!$I$14+C$28*DCF!$I$5)</f>
        <v>2700141.248639171</v>
      </c>
      <c r="D32" s="95">
        <f>NPV($A32,DCF!$E$14:$H$14,DCF!$I$14+D$28*DCF!$I$5)</f>
        <v>2922071.4573920434</v>
      </c>
      <c r="E32" s="95">
        <f>NPV($A32,DCF!$E$14:$H$14,DCF!$I$14+E$28*DCF!$I$5)</f>
        <v>3168660.5782285682</v>
      </c>
      <c r="F32" s="95">
        <f>NPV($A32,DCF!$E$14:$H$14,DCF!$I$14+F$28*DCF!$I$5)</f>
        <v>3442648.4902691515</v>
      </c>
      <c r="G32" s="95">
        <f>NPV($A32,DCF!$E$14:$H$14,DCF!$I$14+G$28*DCF!$I$5)</f>
        <v>3747079.503647577</v>
      </c>
      <c r="H32" s="95">
        <f>NPV($A32,DCF!$E$14:$H$14,DCF!$I$14+H$28*DCF!$I$5)</f>
        <v>4051510.5170260021</v>
      </c>
      <c r="I32" s="95">
        <f>NPV($A32,DCF!$E$14:$H$14,DCF!$I$14+I$28*DCF!$I$5)</f>
        <v>4386384.6317422716</v>
      </c>
      <c r="J32" s="95">
        <f>NPV($A32,DCF!$E$14:$H$14,DCF!$I$14+J$28*DCF!$I$5)</f>
        <v>4754746.1579301665</v>
      </c>
      <c r="K32" s="95">
        <f>NPV($A32,DCF!$E$14:$H$14,DCF!$I$14+K$28*DCF!$I$5)</f>
        <v>5159943.8367368514</v>
      </c>
      <c r="L32" s="96">
        <f>NPV($A32,DCF!$E$14:$H$14,DCF!$I$14+L$28*DCF!$I$5)</f>
        <v>5605661.2834242042</v>
      </c>
      <c r="M32" s="2"/>
      <c r="N32" s="2"/>
      <c r="O32" s="2"/>
    </row>
    <row r="33" spans="1:15" x14ac:dyDescent="0.25">
      <c r="A33" s="78">
        <f>A34*(1-Interval)</f>
        <v>0.108</v>
      </c>
      <c r="B33" s="95">
        <f>NPV($A33,DCF!$E$14:$H$14,DCF!$I$14+B$28*DCF!$I$5)</f>
        <v>2391836.3349611559</v>
      </c>
      <c r="C33" s="95">
        <f>NPV($A33,DCF!$E$14:$H$14,DCF!$I$14+C$28*DCF!$I$5)</f>
        <v>2582026.9679314061</v>
      </c>
      <c r="D33" s="95">
        <f>NPV($A33,DCF!$E$14:$H$14,DCF!$I$14+D$28*DCF!$I$5)</f>
        <v>2793349.8934539072</v>
      </c>
      <c r="E33" s="95">
        <f>NPV($A33,DCF!$E$14:$H$14,DCF!$I$14+E$28*DCF!$I$5)</f>
        <v>3028153.1440344639</v>
      </c>
      <c r="F33" s="95">
        <f>NPV($A33,DCF!$E$14:$H$14,DCF!$I$14+F$28*DCF!$I$5)</f>
        <v>3289045.6446795273</v>
      </c>
      <c r="G33" s="95">
        <f>NPV($A33,DCF!$E$14:$H$14,DCF!$I$14+G$28*DCF!$I$5)</f>
        <v>3578926.2009518193</v>
      </c>
      <c r="H33" s="95">
        <f>NPV($A33,DCF!$E$14:$H$14,DCF!$I$14+H$28*DCF!$I$5)</f>
        <v>3868806.7572241114</v>
      </c>
      <c r="I33" s="95">
        <f>NPV($A33,DCF!$E$14:$H$14,DCF!$I$14+I$28*DCF!$I$5)</f>
        <v>4187675.369123633</v>
      </c>
      <c r="J33" s="95">
        <f>NPV($A33,DCF!$E$14:$H$14,DCF!$I$14+J$28*DCF!$I$5)</f>
        <v>4538430.8422131073</v>
      </c>
      <c r="K33" s="95">
        <f>NPV($A33,DCF!$E$14:$H$14,DCF!$I$14+K$28*DCF!$I$5)</f>
        <v>4924261.8626115276</v>
      </c>
      <c r="L33" s="96">
        <f>NPV($A33,DCF!$E$14:$H$14,DCF!$I$14+L$28*DCF!$I$5)</f>
        <v>5348675.9850497916</v>
      </c>
      <c r="M33" s="2"/>
      <c r="N33" s="2"/>
      <c r="O33" s="2"/>
    </row>
    <row r="34" spans="1:15" x14ac:dyDescent="0.25">
      <c r="A34" s="78">
        <f>Discount_Rate_Sensitivity</f>
        <v>0.12</v>
      </c>
      <c r="B34" s="95">
        <f>NPV($A34,DCF!$E$14:$H$14,DCF!$I$14+B$28*DCF!$I$5)</f>
        <v>2278157.0427144552</v>
      </c>
      <c r="C34" s="95">
        <f>NPV($A34,DCF!$E$14:$H$14,DCF!$I$14+C$28*DCF!$I$5)</f>
        <v>2458374.8961026454</v>
      </c>
      <c r="D34" s="95">
        <f>NPV($A34,DCF!$E$14:$H$14,DCF!$I$14+D$28*DCF!$I$5)</f>
        <v>2658616.9554228568</v>
      </c>
      <c r="E34" s="95">
        <f>NPV($A34,DCF!$E$14:$H$14,DCF!$I$14+E$28*DCF!$I$5)</f>
        <v>2881108.1324453135</v>
      </c>
      <c r="F34" s="95">
        <f>NPV($A34,DCF!$E$14:$H$14,DCF!$I$14+F$28*DCF!$I$5)</f>
        <v>3128320.5513591552</v>
      </c>
      <c r="G34" s="95">
        <f>NPV($A34,DCF!$E$14:$H$14,DCF!$I$14+G$28*DCF!$I$5)</f>
        <v>3403001.0168189788</v>
      </c>
      <c r="H34" s="95">
        <f>NPV($A34,DCF!$E$14:$H$14,DCF!$I$14+H$28*DCF!$I$5)</f>
        <v>3677681.482278802</v>
      </c>
      <c r="I34" s="95">
        <f>NPV($A34,DCF!$E$14:$H$14,DCF!$I$14+I$28*DCF!$I$5)</f>
        <v>3979829.9942846084</v>
      </c>
      <c r="J34" s="95">
        <f>NPV($A34,DCF!$E$14:$H$14,DCF!$I$14+J$28*DCF!$I$5)</f>
        <v>4312193.357490995</v>
      </c>
      <c r="K34" s="95">
        <f>NPV($A34,DCF!$E$14:$H$14,DCF!$I$14+K$28*DCF!$I$5)</f>
        <v>4677793.0570180202</v>
      </c>
      <c r="L34" s="96">
        <f>NPV($A34,DCF!$E$14:$H$14,DCF!$I$14+L$28*DCF!$I$5)</f>
        <v>5079952.7264977479</v>
      </c>
      <c r="M34" s="2"/>
      <c r="N34" s="2"/>
      <c r="O34" s="2"/>
    </row>
    <row r="35" spans="1:15" x14ac:dyDescent="0.25">
      <c r="A35" s="78">
        <f>A34*(1+Interval)</f>
        <v>0.13200000000000001</v>
      </c>
      <c r="B35" s="95">
        <f>NPV($A35,DCF!$E$14:$H$14,DCF!$I$14+B$28*DCF!$I$5)</f>
        <v>2171291.4864333756</v>
      </c>
      <c r="C35" s="95">
        <f>NPV($A35,DCF!$E$14:$H$14,DCF!$I$14+C$28*DCF!$I$5)</f>
        <v>2342157.5410637357</v>
      </c>
      <c r="D35" s="95">
        <f>NPV($A35,DCF!$E$14:$H$14,DCF!$I$14+D$28*DCF!$I$5)</f>
        <v>2532008.712875247</v>
      </c>
      <c r="E35" s="95">
        <f>NPV($A35,DCF!$E$14:$H$14,DCF!$I$14+E$28*DCF!$I$5)</f>
        <v>2742954.4593324824</v>
      </c>
      <c r="F35" s="95">
        <f>NPV($A35,DCF!$E$14:$H$14,DCF!$I$14+F$28*DCF!$I$5)</f>
        <v>2977338.6220627441</v>
      </c>
      <c r="G35" s="95">
        <f>NPV($A35,DCF!$E$14:$H$14,DCF!$I$14+G$28*DCF!$I$5)</f>
        <v>3237765.4695408121</v>
      </c>
      <c r="H35" s="95">
        <f>NPV($A35,DCF!$E$14:$H$14,DCF!$I$14+H$28*DCF!$I$5)</f>
        <v>3498192.3170188791</v>
      </c>
      <c r="I35" s="95">
        <f>NPV($A35,DCF!$E$14:$H$14,DCF!$I$14+I$28*DCF!$I$5)</f>
        <v>3784661.8492447548</v>
      </c>
      <c r="J35" s="95">
        <f>NPV($A35,DCF!$E$14:$H$14,DCF!$I$14+J$28*DCF!$I$5)</f>
        <v>4099778.3346932177</v>
      </c>
      <c r="K35" s="95">
        <f>NPV($A35,DCF!$E$14:$H$14,DCF!$I$14+K$28*DCF!$I$5)</f>
        <v>4446406.4686865266</v>
      </c>
      <c r="L35" s="96">
        <f>NPV($A35,DCF!$E$14:$H$14,DCF!$I$14+L$28*DCF!$I$5)</f>
        <v>4827697.4160791663</v>
      </c>
      <c r="M35" s="2"/>
      <c r="N35" s="2"/>
      <c r="O35" s="2"/>
    </row>
    <row r="36" spans="1:15" x14ac:dyDescent="0.25">
      <c r="A36" s="78">
        <f t="shared" ref="A36:A39" si="7">A35*(1+Interval)</f>
        <v>0.14520000000000002</v>
      </c>
      <c r="B36" s="95">
        <f>NPV($A36,DCF!$E$14:$H$14,DCF!$I$14+B$28*DCF!$I$5)</f>
        <v>2061037.7599808644</v>
      </c>
      <c r="C36" s="95">
        <f>NPV($A36,DCF!$E$14:$H$14,DCF!$I$14+C$28*DCF!$I$5)</f>
        <v>2222280.8933478692</v>
      </c>
      <c r="D36" s="95">
        <f>NPV($A36,DCF!$E$14:$H$14,DCF!$I$14+D$28*DCF!$I$5)</f>
        <v>2401439.9304223191</v>
      </c>
      <c r="E36" s="95">
        <f>NPV($A36,DCF!$E$14:$H$14,DCF!$I$14+E$28*DCF!$I$5)</f>
        <v>2600505.5271717082</v>
      </c>
      <c r="F36" s="95">
        <f>NPV($A36,DCF!$E$14:$H$14,DCF!$I$14+F$28*DCF!$I$5)</f>
        <v>2821689.5235599186</v>
      </c>
      <c r="G36" s="95">
        <f>NPV($A36,DCF!$E$14:$H$14,DCF!$I$14+G$28*DCF!$I$5)</f>
        <v>3067449.5195468185</v>
      </c>
      <c r="H36" s="95">
        <f>NPV($A36,DCF!$E$14:$H$14,DCF!$I$14+H$28*DCF!$I$5)</f>
        <v>3313209.5155337187</v>
      </c>
      <c r="I36" s="95">
        <f>NPV($A36,DCF!$E$14:$H$14,DCF!$I$14+I$28*DCF!$I$5)</f>
        <v>3583545.5111193089</v>
      </c>
      <c r="J36" s="95">
        <f>NPV($A36,DCF!$E$14:$H$14,DCF!$I$14+J$28*DCF!$I$5)</f>
        <v>3880915.1062634587</v>
      </c>
      <c r="K36" s="95">
        <f>NPV($A36,DCF!$E$14:$H$14,DCF!$I$14+K$28*DCF!$I$5)</f>
        <v>4208021.6609220225</v>
      </c>
      <c r="L36" s="96">
        <f>NPV($A36,DCF!$E$14:$H$14,DCF!$I$14+L$28*DCF!$I$5)</f>
        <v>4567838.8710464435</v>
      </c>
      <c r="M36" s="2"/>
      <c r="N36" s="2"/>
      <c r="O36" s="2"/>
    </row>
    <row r="37" spans="1:15" x14ac:dyDescent="0.25">
      <c r="A37" s="78">
        <f t="shared" si="7"/>
        <v>0.15972000000000003</v>
      </c>
      <c r="B37" s="95">
        <f>NPV($A37,DCF!$E$14:$H$14,DCF!$I$14+B$28*DCF!$I$5)</f>
        <v>1947914.8784594026</v>
      </c>
      <c r="C37" s="95">
        <f>NPV($A37,DCF!$E$14:$H$14,DCF!$I$14+C$28*DCF!$I$5)</f>
        <v>2099313.5942670587</v>
      </c>
      <c r="D37" s="95">
        <f>NPV($A37,DCF!$E$14:$H$14,DCF!$I$14+D$28*DCF!$I$5)</f>
        <v>2267534.3896088996</v>
      </c>
      <c r="E37" s="95">
        <f>NPV($A37,DCF!$E$14:$H$14,DCF!$I$14+E$28*DCF!$I$5)</f>
        <v>2454446.3844331671</v>
      </c>
      <c r="F37" s="95">
        <f>NPV($A37,DCF!$E$14:$H$14,DCF!$I$14+F$28*DCF!$I$5)</f>
        <v>2662126.3786823531</v>
      </c>
      <c r="G37" s="95">
        <f>NPV($A37,DCF!$E$14:$H$14,DCF!$I$14+G$28*DCF!$I$5)</f>
        <v>2892881.9278481156</v>
      </c>
      <c r="H37" s="95">
        <f>NPV($A37,DCF!$E$14:$H$14,DCF!$I$14+H$28*DCF!$I$5)</f>
        <v>3123637.4770138776</v>
      </c>
      <c r="I37" s="95">
        <f>NPV($A37,DCF!$E$14:$H$14,DCF!$I$14+I$28*DCF!$I$5)</f>
        <v>3377468.5810962166</v>
      </c>
      <c r="J37" s="95">
        <f>NPV($A37,DCF!$E$14:$H$14,DCF!$I$14+J$28*DCF!$I$5)</f>
        <v>3656682.7955867895</v>
      </c>
      <c r="K37" s="95">
        <f>NPV($A37,DCF!$E$14:$H$14,DCF!$I$14+K$28*DCF!$I$5)</f>
        <v>3963818.4315264192</v>
      </c>
      <c r="L37" s="96">
        <f>NPV($A37,DCF!$E$14:$H$14,DCF!$I$14+L$28*DCF!$I$5)</f>
        <v>4301667.6310600117</v>
      </c>
      <c r="M37" s="2"/>
      <c r="N37" s="2"/>
      <c r="O37" s="2"/>
    </row>
    <row r="38" spans="1:15" x14ac:dyDescent="0.25">
      <c r="A38" s="78">
        <f t="shared" si="7"/>
        <v>0.17569200000000004</v>
      </c>
      <c r="B38" s="95">
        <f>NPV($A38,DCF!$E$14:$H$14,DCF!$I$14+B$28*DCF!$I$5)</f>
        <v>1832532.4287831867</v>
      </c>
      <c r="C38" s="95">
        <f>NPV($A38,DCF!$E$14:$H$14,DCF!$I$14+C$28*DCF!$I$5)</f>
        <v>1973922.8897926188</v>
      </c>
      <c r="D38" s="95">
        <f>NPV($A38,DCF!$E$14:$H$14,DCF!$I$14+D$28*DCF!$I$5)</f>
        <v>2131023.402025322</v>
      </c>
      <c r="E38" s="95">
        <f>NPV($A38,DCF!$E$14:$H$14,DCF!$I$14+E$28*DCF!$I$5)</f>
        <v>2305579.5267283241</v>
      </c>
      <c r="F38" s="95">
        <f>NPV($A38,DCF!$E$14:$H$14,DCF!$I$14+F$28*DCF!$I$5)</f>
        <v>2499530.7763983281</v>
      </c>
      <c r="G38" s="95">
        <f>NPV($A38,DCF!$E$14:$H$14,DCF!$I$14+G$28*DCF!$I$5)</f>
        <v>2715032.1649205536</v>
      </c>
      <c r="H38" s="95">
        <f>NPV($A38,DCF!$E$14:$H$14,DCF!$I$14+H$28*DCF!$I$5)</f>
        <v>2930533.553442779</v>
      </c>
      <c r="I38" s="95">
        <f>NPV($A38,DCF!$E$14:$H$14,DCF!$I$14+I$28*DCF!$I$5)</f>
        <v>3167585.0808172277</v>
      </c>
      <c r="J38" s="95">
        <f>NPV($A38,DCF!$E$14:$H$14,DCF!$I$14+J$28*DCF!$I$5)</f>
        <v>3428341.7609291212</v>
      </c>
      <c r="K38" s="95">
        <f>NPV($A38,DCF!$E$14:$H$14,DCF!$I$14+K$28*DCF!$I$5)</f>
        <v>3715174.1090522041</v>
      </c>
      <c r="L38" s="96">
        <f>NPV($A38,DCF!$E$14:$H$14,DCF!$I$14+L$28*DCF!$I$5)</f>
        <v>4030689.6919875951</v>
      </c>
      <c r="M38" s="2"/>
      <c r="N38" s="2"/>
      <c r="O38" s="2"/>
    </row>
    <row r="39" spans="1:15" ht="16.5" thickBot="1" x14ac:dyDescent="0.3">
      <c r="A39" s="79">
        <f t="shared" si="7"/>
        <v>0.19326120000000005</v>
      </c>
      <c r="B39" s="98">
        <f>NPV($A39,DCF!$E$14:$H$14,DCF!$I$14+B$28*DCF!$I$5)</f>
        <v>1715586.1390911199</v>
      </c>
      <c r="C39" s="98">
        <f>NPV($A39,DCF!$E$14:$H$14,DCF!$I$14+C$28*DCF!$I$5)</f>
        <v>1846869.6942640489</v>
      </c>
      <c r="D39" s="98">
        <f>NPV($A39,DCF!$E$14:$H$14,DCF!$I$14+D$28*DCF!$I$5)</f>
        <v>1992740.3111228594</v>
      </c>
      <c r="E39" s="98">
        <f>NPV($A39,DCF!$E$14:$H$14,DCF!$I$14+E$28*DCF!$I$5)</f>
        <v>2154818.7742993152</v>
      </c>
      <c r="F39" s="98">
        <f>NPV($A39,DCF!$E$14:$H$14,DCF!$I$14+F$28*DCF!$I$5)</f>
        <v>2334905.955606489</v>
      </c>
      <c r="G39" s="98">
        <f>NPV($A39,DCF!$E$14:$H$14,DCF!$I$14+G$28*DCF!$I$5)</f>
        <v>2535002.8237255709</v>
      </c>
      <c r="H39" s="98">
        <f>NPV($A39,DCF!$E$14:$H$14,DCF!$I$14+H$28*DCF!$I$5)</f>
        <v>2735099.6918446519</v>
      </c>
      <c r="I39" s="98">
        <f>NPV($A39,DCF!$E$14:$H$14,DCF!$I$14+I$28*DCF!$I$5)</f>
        <v>2955206.246775642</v>
      </c>
      <c r="J39" s="98">
        <f>NPV($A39,DCF!$E$14:$H$14,DCF!$I$14+J$28*DCF!$I$5)</f>
        <v>3197323.4571997309</v>
      </c>
      <c r="K39" s="98">
        <f>NPV($A39,DCF!$E$14:$H$14,DCF!$I$14+K$28*DCF!$I$5)</f>
        <v>3463652.3886662284</v>
      </c>
      <c r="L39" s="99">
        <f>NPV($A39,DCF!$E$14:$H$14,DCF!$I$14+L$28*DCF!$I$5)</f>
        <v>3756614.2132793749</v>
      </c>
      <c r="M39" s="2"/>
      <c r="N39" s="2"/>
      <c r="O39" s="2"/>
    </row>
    <row r="40" spans="1:1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</sheetData>
  <conditionalFormatting sqref="B12:L22">
    <cfRule type="cellIs" dxfId="2" priority="5" operator="equal">
      <formula>$C$8</formula>
    </cfRule>
    <cfRule type="colorScale" priority="6">
      <colorScale>
        <cfvo type="min"/>
        <cfvo type="max"/>
        <color rgb="FFFCFCFF"/>
        <color rgb="FFFA8E91"/>
      </colorScale>
    </cfRule>
  </conditionalFormatting>
  <conditionalFormatting sqref="B29:L39">
    <cfRule type="cellIs" dxfId="1" priority="1" operator="equal">
      <formula>$C$8</formula>
    </cfRule>
    <cfRule type="colorScale" priority="2">
      <colorScale>
        <cfvo type="min"/>
        <cfvo type="max"/>
        <color rgb="FFFCFCFF"/>
        <color rgb="FFFA8E91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39"/>
  <sheetViews>
    <sheetView zoomScale="90" zoomScaleNormal="90" workbookViewId="0"/>
  </sheetViews>
  <sheetFormatPr defaultColWidth="11" defaultRowHeight="15.75" x14ac:dyDescent="0.25"/>
  <cols>
    <col min="1" max="1" width="32.5" bestFit="1" customWidth="1"/>
    <col min="2" max="2" width="15.125" style="120" customWidth="1"/>
    <col min="3" max="3" width="16.5" style="120" customWidth="1"/>
  </cols>
  <sheetData>
    <row r="1" spans="1:4" ht="18.75" x14ac:dyDescent="0.3">
      <c r="A1" s="14" t="s">
        <v>9</v>
      </c>
      <c r="B1" s="187"/>
      <c r="C1" s="187"/>
      <c r="D1" s="11"/>
    </row>
    <row r="2" spans="1:4" x14ac:dyDescent="0.25">
      <c r="A2" s="15" t="str">
        <f>Financial_Year&amp;" Fiscal Year Period"</f>
        <v>2018 Fiscal Year Period</v>
      </c>
      <c r="B2" s="187"/>
      <c r="C2" s="187"/>
      <c r="D2" s="11"/>
    </row>
    <row r="3" spans="1:4" x14ac:dyDescent="0.25">
      <c r="A3" s="2"/>
      <c r="B3" s="85"/>
      <c r="C3" s="85"/>
      <c r="D3" s="2"/>
    </row>
    <row r="4" spans="1:4" x14ac:dyDescent="0.25">
      <c r="A4" s="4" t="s">
        <v>10</v>
      </c>
      <c r="B4" s="85"/>
      <c r="C4" s="85"/>
      <c r="D4" s="2"/>
    </row>
    <row r="5" spans="1:4" x14ac:dyDescent="0.25">
      <c r="A5" s="2" t="s">
        <v>11</v>
      </c>
      <c r="B5" s="85">
        <f>Yearly_Order_Volume*Avg_Order_Sale</f>
        <v>360000</v>
      </c>
      <c r="C5" s="85"/>
      <c r="D5" s="2"/>
    </row>
    <row r="6" spans="1:4" x14ac:dyDescent="0.25">
      <c r="A6" s="5" t="s">
        <v>18</v>
      </c>
      <c r="B6" s="188">
        <f>Avg_Order_Sale</f>
        <v>10</v>
      </c>
      <c r="C6" s="85"/>
      <c r="D6" s="2"/>
    </row>
    <row r="7" spans="1:4" x14ac:dyDescent="0.25">
      <c r="A7" s="5" t="s">
        <v>24</v>
      </c>
      <c r="B7" s="139">
        <f>Yearly_Order_Volume</f>
        <v>36000</v>
      </c>
      <c r="C7" s="85"/>
      <c r="D7" s="2"/>
    </row>
    <row r="8" spans="1:4" x14ac:dyDescent="0.25">
      <c r="A8" s="2" t="s">
        <v>52</v>
      </c>
      <c r="B8" s="85">
        <f>Sales_Returns_Allowances</f>
        <v>10</v>
      </c>
      <c r="C8" s="85"/>
      <c r="D8" s="2"/>
    </row>
    <row r="9" spans="1:4" x14ac:dyDescent="0.25">
      <c r="A9" s="6" t="s">
        <v>53</v>
      </c>
      <c r="B9" s="85"/>
      <c r="C9" s="86">
        <f>B5-B8</f>
        <v>359990</v>
      </c>
      <c r="D9" s="2"/>
    </row>
    <row r="10" spans="1:4" x14ac:dyDescent="0.25">
      <c r="A10" s="2"/>
      <c r="B10" s="85"/>
      <c r="C10" s="85"/>
      <c r="D10" s="2"/>
    </row>
    <row r="11" spans="1:4" x14ac:dyDescent="0.25">
      <c r="A11" s="4" t="s">
        <v>16</v>
      </c>
      <c r="B11" s="85"/>
      <c r="C11" s="85"/>
      <c r="D11" s="2"/>
    </row>
    <row r="12" spans="1:4" x14ac:dyDescent="0.25">
      <c r="A12" s="2" t="s">
        <v>27</v>
      </c>
      <c r="B12" s="188">
        <f>Ingredients</f>
        <v>108000</v>
      </c>
      <c r="C12" s="85"/>
      <c r="D12" s="2"/>
    </row>
    <row r="13" spans="1:4" x14ac:dyDescent="0.25">
      <c r="A13" s="2" t="s">
        <v>46</v>
      </c>
      <c r="B13" s="112">
        <f>Storage_Costs</f>
        <v>5000</v>
      </c>
      <c r="C13" s="85"/>
      <c r="D13" s="2"/>
    </row>
    <row r="14" spans="1:4" x14ac:dyDescent="0.25">
      <c r="A14" s="2" t="s">
        <v>47</v>
      </c>
      <c r="B14" s="188">
        <f>Packing_Costs</f>
        <v>2000</v>
      </c>
      <c r="C14" s="85"/>
      <c r="D14" s="2"/>
    </row>
    <row r="15" spans="1:4" x14ac:dyDescent="0.25">
      <c r="A15" s="2" t="s">
        <v>26</v>
      </c>
      <c r="B15" s="188">
        <f>Employee_Salary</f>
        <v>118800.00000000001</v>
      </c>
      <c r="C15" s="234"/>
      <c r="D15" s="2"/>
    </row>
    <row r="16" spans="1:4" x14ac:dyDescent="0.25">
      <c r="A16" s="2" t="s">
        <v>45</v>
      </c>
      <c r="B16" s="188">
        <f>Truck_Purchase_Cost</f>
        <v>100000</v>
      </c>
      <c r="C16" s="85"/>
      <c r="D16" s="2"/>
    </row>
    <row r="17" spans="1:4" x14ac:dyDescent="0.25">
      <c r="A17" s="2" t="s">
        <v>67</v>
      </c>
      <c r="B17" s="188">
        <f>Kitchen_Equipment</f>
        <v>50000</v>
      </c>
      <c r="C17" s="85"/>
      <c r="D17" s="2"/>
    </row>
    <row r="18" spans="1:4" x14ac:dyDescent="0.25">
      <c r="A18" s="6" t="s">
        <v>12</v>
      </c>
      <c r="B18" s="85"/>
      <c r="C18" s="86">
        <f>SUM(B12:B17)</f>
        <v>383800</v>
      </c>
      <c r="D18" s="2"/>
    </row>
    <row r="19" spans="1:4" ht="17.25" x14ac:dyDescent="0.3">
      <c r="A19" s="12" t="s">
        <v>19</v>
      </c>
      <c r="B19" s="235">
        <f>Net_Sales-Cost_of_Goods_Sold</f>
        <v>-23810</v>
      </c>
      <c r="C19" s="236"/>
      <c r="D19" s="13"/>
    </row>
    <row r="20" spans="1:4" x14ac:dyDescent="0.25">
      <c r="A20" s="2"/>
      <c r="B20" s="85"/>
      <c r="C20" s="85"/>
      <c r="D20" s="2"/>
    </row>
    <row r="21" spans="1:4" x14ac:dyDescent="0.25">
      <c r="A21" s="2"/>
      <c r="B21" s="85"/>
      <c r="C21" s="197"/>
      <c r="D21" s="7"/>
    </row>
    <row r="22" spans="1:4" x14ac:dyDescent="0.25">
      <c r="A22" s="4" t="s">
        <v>17</v>
      </c>
      <c r="B22" s="85"/>
      <c r="C22" s="197"/>
      <c r="D22" s="7"/>
    </row>
    <row r="23" spans="1:4" x14ac:dyDescent="0.25">
      <c r="A23" s="2" t="s">
        <v>48</v>
      </c>
      <c r="B23" s="188">
        <f>Truck_Maintenance</f>
        <v>20000</v>
      </c>
      <c r="C23" s="197"/>
      <c r="D23" s="7"/>
    </row>
    <row r="24" spans="1:4" x14ac:dyDescent="0.25">
      <c r="A24" s="2" t="s">
        <v>54</v>
      </c>
      <c r="B24" s="188">
        <f>Gas</f>
        <v>30000</v>
      </c>
      <c r="C24" s="85"/>
      <c r="D24" s="8"/>
    </row>
    <row r="25" spans="1:4" ht="31.5" x14ac:dyDescent="0.25">
      <c r="A25" s="9" t="s">
        <v>49</v>
      </c>
      <c r="B25" s="188">
        <f>Permits</f>
        <v>1000</v>
      </c>
      <c r="C25" s="85"/>
      <c r="D25" s="2"/>
    </row>
    <row r="26" spans="1:4" x14ac:dyDescent="0.25">
      <c r="A26" s="9" t="s">
        <v>56</v>
      </c>
      <c r="B26" s="188">
        <f>Trash</f>
        <v>500</v>
      </c>
      <c r="C26" s="85"/>
      <c r="D26" s="2"/>
    </row>
    <row r="27" spans="1:4" x14ac:dyDescent="0.25">
      <c r="A27" s="9" t="s">
        <v>65</v>
      </c>
      <c r="B27" s="188">
        <f>Janitorial</f>
        <v>1200</v>
      </c>
      <c r="C27" s="85"/>
      <c r="D27" s="2"/>
    </row>
    <row r="28" spans="1:4" x14ac:dyDescent="0.25">
      <c r="A28" s="9" t="s">
        <v>66</v>
      </c>
      <c r="B28" s="188">
        <f>Credit_Card_Fee</f>
        <v>4800</v>
      </c>
      <c r="C28" s="85"/>
      <c r="D28" s="2"/>
    </row>
    <row r="29" spans="1:4" x14ac:dyDescent="0.25">
      <c r="A29" s="9" t="s">
        <v>15</v>
      </c>
      <c r="B29" s="188">
        <f>Utilities</f>
        <v>15000</v>
      </c>
      <c r="C29" s="85"/>
      <c r="D29" s="2"/>
    </row>
    <row r="30" spans="1:4" x14ac:dyDescent="0.25">
      <c r="A30" s="2" t="s">
        <v>13</v>
      </c>
      <c r="B30" s="188">
        <f>Advertising</f>
        <v>2400</v>
      </c>
      <c r="C30" s="85"/>
      <c r="D30" s="2"/>
    </row>
    <row r="31" spans="1:4" x14ac:dyDescent="0.25">
      <c r="A31" s="2" t="s">
        <v>50</v>
      </c>
      <c r="B31" s="188">
        <f>Insurance</f>
        <v>10000</v>
      </c>
      <c r="C31" s="85"/>
      <c r="D31" s="2"/>
    </row>
    <row r="32" spans="1:4" x14ac:dyDescent="0.25">
      <c r="A32" s="9" t="s">
        <v>14</v>
      </c>
      <c r="B32" s="188">
        <f>Depreciation</f>
        <v>12000</v>
      </c>
      <c r="C32" s="85"/>
      <c r="D32" s="2"/>
    </row>
    <row r="33" spans="1:4" x14ac:dyDescent="0.25">
      <c r="A33" s="6" t="s">
        <v>57</v>
      </c>
      <c r="B33" s="85"/>
      <c r="C33" s="86">
        <f>SUM(B23:B32)</f>
        <v>96900</v>
      </c>
      <c r="D33" s="2"/>
    </row>
    <row r="34" spans="1:4" x14ac:dyDescent="0.25">
      <c r="A34" s="6"/>
      <c r="B34" s="85"/>
      <c r="C34" s="86"/>
      <c r="D34" s="2"/>
    </row>
    <row r="35" spans="1:4" x14ac:dyDescent="0.25">
      <c r="A35" s="2" t="s">
        <v>74</v>
      </c>
      <c r="B35" s="188">
        <f>Initial_Investment</f>
        <v>500000</v>
      </c>
      <c r="C35" s="85"/>
      <c r="D35" s="2"/>
    </row>
    <row r="36" spans="1:4" ht="17.25" x14ac:dyDescent="0.3">
      <c r="A36" s="12" t="s">
        <v>60</v>
      </c>
      <c r="B36" s="237"/>
      <c r="C36" s="235">
        <f>Gross_Profit-Total_Expenses+Initial_Investment</f>
        <v>379290</v>
      </c>
      <c r="D36" s="13"/>
    </row>
    <row r="37" spans="1:4" x14ac:dyDescent="0.25">
      <c r="A37" s="2" t="s">
        <v>20</v>
      </c>
      <c r="B37" s="188">
        <f>Interest_Expense</f>
        <v>0</v>
      </c>
      <c r="C37" s="85"/>
      <c r="D37" s="2"/>
    </row>
    <row r="38" spans="1:4" x14ac:dyDescent="0.25">
      <c r="A38" s="2" t="s">
        <v>59</v>
      </c>
      <c r="B38" s="85">
        <f>(EBIT+Depreciation)*Tax_Rate</f>
        <v>96634.93369692564</v>
      </c>
      <c r="C38" s="85"/>
      <c r="D38" s="2"/>
    </row>
    <row r="39" spans="1:4" ht="18.75" x14ac:dyDescent="0.3">
      <c r="A39" s="10" t="s">
        <v>68</v>
      </c>
      <c r="B39" s="238"/>
      <c r="C39" s="239">
        <f>EBIT-SUM(B37:B38)</f>
        <v>282655.06630307436</v>
      </c>
      <c r="D39" s="11"/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AAFD3-CE21-4ED6-A98A-A007AC0C821E}">
  <sheetPr codeName="Sheet2"/>
  <dimension ref="A1:C25"/>
  <sheetViews>
    <sheetView workbookViewId="0"/>
  </sheetViews>
  <sheetFormatPr defaultRowHeight="15.75" x14ac:dyDescent="0.25"/>
  <cols>
    <col min="1" max="1" width="29.875" customWidth="1"/>
    <col min="2" max="2" width="11.375" style="120" customWidth="1"/>
  </cols>
  <sheetData>
    <row r="1" spans="1:3" ht="18.75" x14ac:dyDescent="0.3">
      <c r="A1" s="14" t="s">
        <v>123</v>
      </c>
      <c r="B1" s="187"/>
      <c r="C1" s="2"/>
    </row>
    <row r="2" spans="1:3" x14ac:dyDescent="0.25">
      <c r="A2" s="15" t="str">
        <f>Financial_Year&amp;" Fiscal Year Period"</f>
        <v>2018 Fiscal Year Period</v>
      </c>
      <c r="B2" s="187"/>
      <c r="C2" s="2"/>
    </row>
    <row r="3" spans="1:3" x14ac:dyDescent="0.25">
      <c r="A3" s="2"/>
      <c r="B3" s="85"/>
      <c r="C3" s="2"/>
    </row>
    <row r="4" spans="1:3" x14ac:dyDescent="0.25">
      <c r="A4" s="16" t="s">
        <v>124</v>
      </c>
      <c r="B4" s="85"/>
      <c r="C4" s="2"/>
    </row>
    <row r="5" spans="1:3" x14ac:dyDescent="0.25">
      <c r="A5" s="2" t="s">
        <v>142</v>
      </c>
      <c r="B5" s="85">
        <f>Net_Income</f>
        <v>282655.06630307436</v>
      </c>
      <c r="C5" s="2"/>
    </row>
    <row r="6" spans="1:3" x14ac:dyDescent="0.25">
      <c r="A6" s="2" t="s">
        <v>125</v>
      </c>
      <c r="B6" s="188">
        <f>+Depreciation+Amortization</f>
        <v>12000</v>
      </c>
      <c r="C6" s="2"/>
    </row>
    <row r="7" spans="1:3" x14ac:dyDescent="0.25">
      <c r="A7" s="2" t="s">
        <v>126</v>
      </c>
      <c r="B7" s="188">
        <f>-NWC_Change</f>
        <v>0</v>
      </c>
      <c r="C7" s="2"/>
    </row>
    <row r="8" spans="1:3" x14ac:dyDescent="0.25">
      <c r="A8" s="189" t="s">
        <v>127</v>
      </c>
      <c r="B8" s="190">
        <f>SUM(B5:B7)</f>
        <v>294655.06630307436</v>
      </c>
      <c r="C8" s="2"/>
    </row>
    <row r="9" spans="1:3" x14ac:dyDescent="0.25">
      <c r="A9" s="2"/>
      <c r="B9" s="85"/>
      <c r="C9" s="2"/>
    </row>
    <row r="10" spans="1:3" x14ac:dyDescent="0.25">
      <c r="A10" s="16" t="s">
        <v>128</v>
      </c>
      <c r="B10" s="85"/>
      <c r="C10" s="2"/>
    </row>
    <row r="11" spans="1:3" x14ac:dyDescent="0.25">
      <c r="A11" s="2" t="s">
        <v>129</v>
      </c>
      <c r="B11" s="188">
        <f>PPE</f>
        <v>0</v>
      </c>
      <c r="C11" s="2"/>
    </row>
    <row r="12" spans="1:3" x14ac:dyDescent="0.25">
      <c r="A12" s="189" t="s">
        <v>130</v>
      </c>
      <c r="B12" s="190">
        <f>SUM(B11)</f>
        <v>0</v>
      </c>
      <c r="C12" s="2"/>
    </row>
    <row r="13" spans="1:3" x14ac:dyDescent="0.25">
      <c r="A13" s="2"/>
      <c r="B13" s="85"/>
      <c r="C13" s="2"/>
    </row>
    <row r="14" spans="1:3" x14ac:dyDescent="0.25">
      <c r="A14" s="16" t="s">
        <v>131</v>
      </c>
      <c r="B14" s="85"/>
      <c r="C14" s="2"/>
    </row>
    <row r="15" spans="1:3" x14ac:dyDescent="0.25">
      <c r="A15" s="2" t="s">
        <v>132</v>
      </c>
      <c r="B15" s="188">
        <f>Debt_Issuance</f>
        <v>0</v>
      </c>
      <c r="C15" s="2"/>
    </row>
    <row r="16" spans="1:3" x14ac:dyDescent="0.25">
      <c r="A16" s="2" t="s">
        <v>133</v>
      </c>
      <c r="B16" s="188">
        <f>Equity_Issuance</f>
        <v>0</v>
      </c>
      <c r="C16" s="2"/>
    </row>
    <row r="17" spans="1:3" x14ac:dyDescent="0.25">
      <c r="A17" s="189" t="s">
        <v>134</v>
      </c>
      <c r="B17" s="190">
        <f>SUM(B15:B16)</f>
        <v>0</v>
      </c>
      <c r="C17" s="2"/>
    </row>
    <row r="18" spans="1:3" x14ac:dyDescent="0.25">
      <c r="A18" s="2"/>
      <c r="B18" s="85"/>
      <c r="C18" s="2"/>
    </row>
    <row r="19" spans="1:3" x14ac:dyDescent="0.25">
      <c r="A19" s="4" t="s">
        <v>135</v>
      </c>
      <c r="B19" s="86">
        <f>Cash_from_Operations-Cash_from_Investing+Cash_from_Financing</f>
        <v>294655.06630307436</v>
      </c>
      <c r="C19" s="2"/>
    </row>
    <row r="20" spans="1:3" x14ac:dyDescent="0.25">
      <c r="A20" s="4" t="s">
        <v>136</v>
      </c>
      <c r="B20" s="191">
        <v>0</v>
      </c>
      <c r="C20" s="2"/>
    </row>
    <row r="21" spans="1:3" x14ac:dyDescent="0.25">
      <c r="A21" s="189" t="s">
        <v>137</v>
      </c>
      <c r="B21" s="190">
        <f>SUM(B19:B20)</f>
        <v>294655.06630307436</v>
      </c>
      <c r="C21" s="2"/>
    </row>
    <row r="22" spans="1:3" x14ac:dyDescent="0.25">
      <c r="A22" s="2"/>
      <c r="B22" s="85"/>
      <c r="C22" s="2"/>
    </row>
    <row r="23" spans="1:3" x14ac:dyDescent="0.25">
      <c r="A23" s="2"/>
      <c r="B23" s="85"/>
      <c r="C23" s="2"/>
    </row>
    <row r="24" spans="1:3" x14ac:dyDescent="0.25">
      <c r="B24" s="180"/>
    </row>
    <row r="25" spans="1:3" x14ac:dyDescent="0.25">
      <c r="B25" s="18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A47F5-FECE-4907-BB41-BA60692DAB05}">
  <sheetPr codeName="Sheet5"/>
  <dimension ref="A1:C34"/>
  <sheetViews>
    <sheetView workbookViewId="0"/>
  </sheetViews>
  <sheetFormatPr defaultRowHeight="15.75" x14ac:dyDescent="0.25"/>
  <cols>
    <col min="1" max="1" width="41.375" customWidth="1"/>
    <col min="2" max="2" width="12.375" customWidth="1"/>
  </cols>
  <sheetData>
    <row r="1" spans="1:3" ht="18.75" x14ac:dyDescent="0.3">
      <c r="A1" s="14" t="s">
        <v>168</v>
      </c>
      <c r="B1" s="2"/>
      <c r="C1" s="2"/>
    </row>
    <row r="2" spans="1:3" x14ac:dyDescent="0.25">
      <c r="A2" s="15" t="str">
        <f>Financial_Year&amp;" Fiscal Year Period"</f>
        <v>2018 Fiscal Year Period</v>
      </c>
      <c r="B2" s="2"/>
      <c r="C2" s="2"/>
    </row>
    <row r="3" spans="1:3" x14ac:dyDescent="0.25">
      <c r="A3" s="2"/>
      <c r="B3" s="2"/>
      <c r="C3" s="2"/>
    </row>
    <row r="4" spans="1:3" x14ac:dyDescent="0.25">
      <c r="A4" s="4" t="s">
        <v>144</v>
      </c>
      <c r="B4" s="85"/>
      <c r="C4" s="2"/>
    </row>
    <row r="5" spans="1:3" x14ac:dyDescent="0.25">
      <c r="A5" s="2" t="s">
        <v>145</v>
      </c>
      <c r="B5" s="85"/>
      <c r="C5" s="2"/>
    </row>
    <row r="6" spans="1:3" x14ac:dyDescent="0.25">
      <c r="A6" s="5" t="s">
        <v>164</v>
      </c>
      <c r="B6" s="194">
        <f>Closing_Cash_Balance</f>
        <v>294655.06630307436</v>
      </c>
      <c r="C6" s="2"/>
    </row>
    <row r="7" spans="1:3" x14ac:dyDescent="0.25">
      <c r="A7" s="5" t="s">
        <v>146</v>
      </c>
      <c r="B7" s="85">
        <f>Accounts_Receivable</f>
        <v>0</v>
      </c>
      <c r="C7" s="2"/>
    </row>
    <row r="8" spans="1:3" x14ac:dyDescent="0.25">
      <c r="A8" s="5" t="s">
        <v>147</v>
      </c>
      <c r="B8" s="85">
        <f>Prepaid_Expenses</f>
        <v>0</v>
      </c>
      <c r="C8" s="2"/>
    </row>
    <row r="9" spans="1:3" x14ac:dyDescent="0.25">
      <c r="A9" s="5" t="s">
        <v>148</v>
      </c>
      <c r="B9" s="85">
        <f>Inventory</f>
        <v>0</v>
      </c>
      <c r="C9" s="2"/>
    </row>
    <row r="10" spans="1:3" x14ac:dyDescent="0.25">
      <c r="A10" s="5" t="s">
        <v>169</v>
      </c>
      <c r="B10" s="85">
        <f>-Depreciation</f>
        <v>-12000</v>
      </c>
      <c r="C10" s="2"/>
    </row>
    <row r="11" spans="1:3" x14ac:dyDescent="0.25">
      <c r="A11" s="189" t="s">
        <v>149</v>
      </c>
      <c r="B11" s="193">
        <f>SUM(B6:B10)</f>
        <v>282655.06630307436</v>
      </c>
      <c r="C11" s="2"/>
    </row>
    <row r="12" spans="1:3" x14ac:dyDescent="0.25">
      <c r="A12" s="2"/>
      <c r="B12" s="85"/>
      <c r="C12" s="2"/>
    </row>
    <row r="13" spans="1:3" x14ac:dyDescent="0.25">
      <c r="A13" s="5" t="s">
        <v>150</v>
      </c>
      <c r="B13" s="85">
        <f>PPE</f>
        <v>0</v>
      </c>
      <c r="C13" s="2"/>
    </row>
    <row r="14" spans="1:3" x14ac:dyDescent="0.25">
      <c r="A14" s="5" t="s">
        <v>151</v>
      </c>
      <c r="B14" s="85">
        <f>Goodwill</f>
        <v>0</v>
      </c>
      <c r="C14" s="2"/>
    </row>
    <row r="15" spans="1:3" ht="18.75" x14ac:dyDescent="0.3">
      <c r="A15" s="198" t="s">
        <v>152</v>
      </c>
      <c r="B15" s="193">
        <f>B11+B13+B14</f>
        <v>282655.06630307436</v>
      </c>
      <c r="C15" s="2"/>
    </row>
    <row r="16" spans="1:3" x14ac:dyDescent="0.25">
      <c r="A16" s="2"/>
      <c r="B16" s="85"/>
      <c r="C16" s="2"/>
    </row>
    <row r="17" spans="1:3" x14ac:dyDescent="0.25">
      <c r="A17" s="4" t="s">
        <v>153</v>
      </c>
      <c r="B17" s="85"/>
      <c r="C17" s="2"/>
    </row>
    <row r="18" spans="1:3" x14ac:dyDescent="0.25">
      <c r="A18" s="2" t="s">
        <v>154</v>
      </c>
      <c r="B18" s="85"/>
      <c r="C18" s="2"/>
    </row>
    <row r="19" spans="1:3" x14ac:dyDescent="0.25">
      <c r="A19" s="5" t="s">
        <v>155</v>
      </c>
      <c r="B19" s="85">
        <f>Accounts_Payable</f>
        <v>0</v>
      </c>
      <c r="C19" s="2"/>
    </row>
    <row r="20" spans="1:3" x14ac:dyDescent="0.25">
      <c r="A20" s="5" t="s">
        <v>165</v>
      </c>
      <c r="B20" s="85">
        <f>Accrued_Expenses</f>
        <v>0</v>
      </c>
      <c r="C20" s="2"/>
    </row>
    <row r="21" spans="1:3" x14ac:dyDescent="0.25">
      <c r="A21" s="192" t="s">
        <v>156</v>
      </c>
      <c r="B21" s="193">
        <f>SUM(B19:B20)</f>
        <v>0</v>
      </c>
      <c r="C21" s="2"/>
    </row>
    <row r="22" spans="1:3" x14ac:dyDescent="0.25">
      <c r="A22" s="2"/>
      <c r="B22" s="85"/>
      <c r="C22" s="2"/>
    </row>
    <row r="23" spans="1:3" x14ac:dyDescent="0.25">
      <c r="A23" s="5" t="s">
        <v>157</v>
      </c>
      <c r="B23" s="85">
        <f>Long_term_debt</f>
        <v>0</v>
      </c>
      <c r="C23" s="2"/>
    </row>
    <row r="24" spans="1:3" x14ac:dyDescent="0.25">
      <c r="A24" s="5" t="s">
        <v>158</v>
      </c>
      <c r="B24" s="85">
        <f>other_debt</f>
        <v>0</v>
      </c>
      <c r="C24" s="2"/>
    </row>
    <row r="25" spans="1:3" ht="17.25" x14ac:dyDescent="0.3">
      <c r="A25" s="201" t="s">
        <v>159</v>
      </c>
      <c r="B25" s="193">
        <f>B21+SUM(B23:B24)</f>
        <v>0</v>
      </c>
      <c r="C25" s="2"/>
    </row>
    <row r="26" spans="1:3" x14ac:dyDescent="0.25">
      <c r="A26" s="2"/>
      <c r="B26" s="85"/>
      <c r="C26" s="2"/>
    </row>
    <row r="27" spans="1:3" x14ac:dyDescent="0.25">
      <c r="A27" s="4" t="s">
        <v>160</v>
      </c>
      <c r="B27" s="85"/>
      <c r="C27" s="2"/>
    </row>
    <row r="28" spans="1:3" x14ac:dyDescent="0.25">
      <c r="A28" s="5" t="s">
        <v>161</v>
      </c>
      <c r="B28" s="85">
        <f>Equity_Capital</f>
        <v>0</v>
      </c>
      <c r="C28" s="2"/>
    </row>
    <row r="29" spans="1:3" x14ac:dyDescent="0.25">
      <c r="A29" s="5" t="s">
        <v>162</v>
      </c>
      <c r="B29" s="194">
        <f>Net_Income</f>
        <v>282655.06630307436</v>
      </c>
      <c r="C29" s="2"/>
    </row>
    <row r="30" spans="1:3" ht="17.25" x14ac:dyDescent="0.3">
      <c r="A30" s="202" t="s">
        <v>160</v>
      </c>
      <c r="B30" s="200">
        <f>SUM(B28:B29)</f>
        <v>282655.06630307436</v>
      </c>
      <c r="C30" s="2"/>
    </row>
    <row r="31" spans="1:3" ht="18.75" x14ac:dyDescent="0.3">
      <c r="A31" s="199" t="s">
        <v>163</v>
      </c>
      <c r="B31" s="200">
        <f>Liabilities+Shareholder_Equity</f>
        <v>282655.06630307436</v>
      </c>
      <c r="C31" s="2"/>
    </row>
    <row r="32" spans="1:3" x14ac:dyDescent="0.25">
      <c r="A32" s="2"/>
      <c r="B32" s="2"/>
      <c r="C32" s="2"/>
    </row>
    <row r="33" spans="1:3" x14ac:dyDescent="0.25">
      <c r="A33" s="196" t="s">
        <v>166</v>
      </c>
      <c r="B33" s="195" t="str">
        <f>IF(Assets=Liabilities_and_SE,"OK","PLEASE CHECK")</f>
        <v>OK</v>
      </c>
      <c r="C33" s="2"/>
    </row>
    <row r="34" spans="1:3" x14ac:dyDescent="0.25">
      <c r="A34" s="2"/>
      <c r="B34" s="2"/>
      <c r="C34" s="2"/>
    </row>
  </sheetData>
  <conditionalFormatting sqref="A33:B33">
    <cfRule type="expression" dxfId="0" priority="1">
      <formula>$B$33="PLEASE CHECK"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9F731-D14C-4A2A-B784-8BEF315555DF}">
  <sheetPr codeName="Sheet8"/>
  <dimension ref="A1:A21"/>
  <sheetViews>
    <sheetView workbookViewId="0">
      <selection activeCell="A4" sqref="A4:B15"/>
    </sheetView>
  </sheetViews>
  <sheetFormatPr defaultRowHeight="15.75" x14ac:dyDescent="0.25"/>
  <cols>
    <col min="9" max="9" width="48.375" bestFit="1" customWidth="1"/>
    <col min="10" max="10" width="5.125" bestFit="1" customWidth="1"/>
    <col min="11" max="11" width="9.625" bestFit="1" customWidth="1"/>
  </cols>
  <sheetData>
    <row r="1" spans="1:1" x14ac:dyDescent="0.25">
      <c r="A1" t="s">
        <v>83</v>
      </c>
    </row>
    <row r="2" spans="1:1" x14ac:dyDescent="0.25">
      <c r="A2" s="60">
        <v>2125.7998943328857</v>
      </c>
    </row>
    <row r="3" spans="1:1" x14ac:dyDescent="0.25">
      <c r="A3" s="60">
        <v>2181.4000606536865</v>
      </c>
    </row>
    <row r="4" spans="1:1" x14ac:dyDescent="0.25">
      <c r="A4" s="60">
        <v>1802.1999597549438</v>
      </c>
    </row>
    <row r="5" spans="1:1" x14ac:dyDescent="0.25">
      <c r="A5" s="60">
        <v>2008.3999633789063</v>
      </c>
    </row>
    <row r="6" spans="1:1" x14ac:dyDescent="0.25">
      <c r="A6" s="60">
        <v>1896.1999416351318</v>
      </c>
    </row>
    <row r="7" spans="1:1" x14ac:dyDescent="0.25">
      <c r="A7" s="60">
        <v>2020.2000141143799</v>
      </c>
    </row>
    <row r="8" spans="1:1" x14ac:dyDescent="0.25">
      <c r="A8" s="60">
        <v>1942.1999454498291</v>
      </c>
    </row>
    <row r="9" spans="1:1" x14ac:dyDescent="0.25">
      <c r="A9" s="60">
        <v>1857.3999404907227</v>
      </c>
    </row>
    <row r="10" spans="1:1" x14ac:dyDescent="0.25">
      <c r="A10" s="60">
        <v>2193.3999061584473</v>
      </c>
    </row>
    <row r="11" spans="1:1" x14ac:dyDescent="0.25">
      <c r="A11" s="60">
        <v>1985.5999946594238</v>
      </c>
    </row>
    <row r="12" spans="1:1" x14ac:dyDescent="0.25">
      <c r="A12" s="60">
        <v>2102.60009765625</v>
      </c>
    </row>
    <row r="13" spans="1:1" x14ac:dyDescent="0.25">
      <c r="A13" s="60">
        <v>1939.2000436782837</v>
      </c>
    </row>
    <row r="14" spans="1:1" x14ac:dyDescent="0.25">
      <c r="A14" s="60">
        <v>1922.9999780654907</v>
      </c>
    </row>
    <row r="15" spans="1:1" x14ac:dyDescent="0.25">
      <c r="A15" s="60">
        <v>2183.7999820709229</v>
      </c>
    </row>
    <row r="16" spans="1:1" x14ac:dyDescent="0.25">
      <c r="A16" s="60">
        <v>1989.4000291824341</v>
      </c>
    </row>
    <row r="17" spans="1:1" x14ac:dyDescent="0.25">
      <c r="A17" s="60"/>
    </row>
    <row r="18" spans="1:1" x14ac:dyDescent="0.25">
      <c r="A18" s="60"/>
    </row>
    <row r="19" spans="1:1" x14ac:dyDescent="0.25">
      <c r="A19" s="60"/>
    </row>
    <row r="20" spans="1:1" x14ac:dyDescent="0.25">
      <c r="A20" s="60"/>
    </row>
    <row r="21" spans="1:1" x14ac:dyDescent="0.25">
      <c r="A21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93</vt:i4>
      </vt:variant>
    </vt:vector>
  </HeadingPairs>
  <TitlesOfParts>
    <vt:vector size="101" baseType="lpstr">
      <vt:lpstr>Summary</vt:lpstr>
      <vt:lpstr>Original Summary</vt:lpstr>
      <vt:lpstr>DCF</vt:lpstr>
      <vt:lpstr>Sensitivity Analysis</vt:lpstr>
      <vt:lpstr>Income Statement</vt:lpstr>
      <vt:lpstr>Statement of Cash Flow</vt:lpstr>
      <vt:lpstr>Balance Sheet</vt:lpstr>
      <vt:lpstr>Working Sensitivity</vt:lpstr>
      <vt:lpstr>Accounts_Payable</vt:lpstr>
      <vt:lpstr>Accounts_Receivable</vt:lpstr>
      <vt:lpstr>Accrued_Expenses</vt:lpstr>
      <vt:lpstr>Advertising</vt:lpstr>
      <vt:lpstr>Amortization</vt:lpstr>
      <vt:lpstr>Amortization_Y1</vt:lpstr>
      <vt:lpstr>Amortization_Y2</vt:lpstr>
      <vt:lpstr>Amortization_Y3</vt:lpstr>
      <vt:lpstr>Amortization_Y4</vt:lpstr>
      <vt:lpstr>Amortization_Y5</vt:lpstr>
      <vt:lpstr>Annual_Growth_Rate</vt:lpstr>
      <vt:lpstr>Assets</vt:lpstr>
      <vt:lpstr>Avg_Order_Sale</vt:lpstr>
      <vt:lpstr>Capex_Y1</vt:lpstr>
      <vt:lpstr>Capex_Y2</vt:lpstr>
      <vt:lpstr>Capex_Y3</vt:lpstr>
      <vt:lpstr>Capex_Y4</vt:lpstr>
      <vt:lpstr>Capex_Y5</vt:lpstr>
      <vt:lpstr>Capital_Expenditures</vt:lpstr>
      <vt:lpstr>Cash_from_Financing</vt:lpstr>
      <vt:lpstr>Cash_from_Investing</vt:lpstr>
      <vt:lpstr>Cash_from_Operations</vt:lpstr>
      <vt:lpstr>Change_in_Cash</vt:lpstr>
      <vt:lpstr>Closing_Cash_Balance</vt:lpstr>
      <vt:lpstr>Cost_of_Goods_Sold</vt:lpstr>
      <vt:lpstr>Credit_Card_Fee</vt:lpstr>
      <vt:lpstr>Daily_Order_Volume</vt:lpstr>
      <vt:lpstr>Daily_Potential_Customers</vt:lpstr>
      <vt:lpstr>Debt_Issuance</vt:lpstr>
      <vt:lpstr>Depreciation</vt:lpstr>
      <vt:lpstr>Depreciation_Y1</vt:lpstr>
      <vt:lpstr>Depreciation_Y2</vt:lpstr>
      <vt:lpstr>Depreciation_Y3</vt:lpstr>
      <vt:lpstr>Depreciation_Y4</vt:lpstr>
      <vt:lpstr>Depreciation_Y5</vt:lpstr>
      <vt:lpstr>Discount_Rate</vt:lpstr>
      <vt:lpstr>Discount_Rate_Sensitivity</vt:lpstr>
      <vt:lpstr>EBIT</vt:lpstr>
      <vt:lpstr>Employee_Salary</vt:lpstr>
      <vt:lpstr>Equity_Capital</vt:lpstr>
      <vt:lpstr>Equity_Issuance</vt:lpstr>
      <vt:lpstr>EV_Avg</vt:lpstr>
      <vt:lpstr>EV_EBITDA_Multiple</vt:lpstr>
      <vt:lpstr>EV_EBITDA_Multiple_Sensitivity</vt:lpstr>
      <vt:lpstr>EV_Growth</vt:lpstr>
      <vt:lpstr>EV_Multiple</vt:lpstr>
      <vt:lpstr>Financial_Year</vt:lpstr>
      <vt:lpstr>Gas</vt:lpstr>
      <vt:lpstr>Goodwill</vt:lpstr>
      <vt:lpstr>Gross_Profit</vt:lpstr>
      <vt:lpstr>Gross_Sales</vt:lpstr>
      <vt:lpstr>Ingredients</vt:lpstr>
      <vt:lpstr>Initial_Investment</vt:lpstr>
      <vt:lpstr>Insurance</vt:lpstr>
      <vt:lpstr>Interest_Expense</vt:lpstr>
      <vt:lpstr>Inventory</vt:lpstr>
      <vt:lpstr>Janitorial</vt:lpstr>
      <vt:lpstr>Kitchen_Equipment</vt:lpstr>
      <vt:lpstr>Liabilities</vt:lpstr>
      <vt:lpstr>Liabilities_and_SE</vt:lpstr>
      <vt:lpstr>Long_term_debt</vt:lpstr>
      <vt:lpstr>Market_Share</vt:lpstr>
      <vt:lpstr>Net_Income</vt:lpstr>
      <vt:lpstr>Net_Sales</vt:lpstr>
      <vt:lpstr>NWC_Change</vt:lpstr>
      <vt:lpstr>NWC_Change_Y1</vt:lpstr>
      <vt:lpstr>NWC_Change_Y2</vt:lpstr>
      <vt:lpstr>NWC_Change_Y3</vt:lpstr>
      <vt:lpstr>NWC_Change_Y4</vt:lpstr>
      <vt:lpstr>NWC_Change_Y5</vt:lpstr>
      <vt:lpstr>Opening_Cash_Balance</vt:lpstr>
      <vt:lpstr>Other_Capex</vt:lpstr>
      <vt:lpstr>other_debt</vt:lpstr>
      <vt:lpstr>Packing_Costs</vt:lpstr>
      <vt:lpstr>Percent_Ingredients</vt:lpstr>
      <vt:lpstr>Percent_Salary</vt:lpstr>
      <vt:lpstr>Permits</vt:lpstr>
      <vt:lpstr>Perpetural_Growth_Rate</vt:lpstr>
      <vt:lpstr>Perpetural_Growth_Rate_Sensitivity</vt:lpstr>
      <vt:lpstr>PPE</vt:lpstr>
      <vt:lpstr>Prepaid_Expenses</vt:lpstr>
      <vt:lpstr>Reinvestment_Rate</vt:lpstr>
      <vt:lpstr>Sales_Returns_Allowances</vt:lpstr>
      <vt:lpstr>Shareholder_Equity</vt:lpstr>
      <vt:lpstr>Storage_Costs</vt:lpstr>
      <vt:lpstr>Tax_Rate</vt:lpstr>
      <vt:lpstr>Terminal_Value</vt:lpstr>
      <vt:lpstr>Total_Expenses</vt:lpstr>
      <vt:lpstr>Trash</vt:lpstr>
      <vt:lpstr>Truck_Maintenance</vt:lpstr>
      <vt:lpstr>Truck_Purchase_Cost</vt:lpstr>
      <vt:lpstr>Utilities</vt:lpstr>
      <vt:lpstr>Yearly_Order_Volume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Michael Yao</cp:lastModifiedBy>
  <dcterms:created xsi:type="dcterms:W3CDTF">2019-07-20T00:03:06Z</dcterms:created>
  <dcterms:modified xsi:type="dcterms:W3CDTF">2019-07-25T18:24:00Z</dcterms:modified>
</cp:coreProperties>
</file>